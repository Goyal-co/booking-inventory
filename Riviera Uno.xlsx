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Mkt\"/>
    </mc:Choice>
  </mc:AlternateContent>
  <bookViews>
    <workbookView xWindow="0" yWindow="0" windowWidth="2172" windowHeight="0" tabRatio="780"/>
  </bookViews>
  <sheets>
    <sheet name="MASTER SHEET" sheetId="7" r:id="rId1"/>
    <sheet name="PRICE SHEET" sheetId="4" r:id="rId2"/>
  </sheets>
  <definedNames>
    <definedName name="_xlnm._FilterDatabase" localSheetId="0" hidden="1">'MASTER SHEET'!$A$2:$X$7</definedName>
    <definedName name="_xlnm.Print_Area" localSheetId="1">'PRICE SHEET'!$B$1:$D$46</definedName>
  </definedNames>
  <calcPr calcId="162913"/>
</workbook>
</file>

<file path=xl/calcChain.xml><?xml version="1.0" encoding="utf-8"?>
<calcChain xmlns="http://schemas.openxmlformats.org/spreadsheetml/2006/main">
  <c r="V6" i="7" l="1"/>
  <c r="V5" i="7"/>
  <c r="U6" i="7"/>
  <c r="U5" i="7"/>
  <c r="D10" i="4" l="1"/>
  <c r="D9" i="4"/>
  <c r="Q4" i="7" l="1"/>
  <c r="T4" i="7" s="1"/>
  <c r="Q5" i="7"/>
  <c r="T5" i="7" s="1"/>
  <c r="Q6" i="7"/>
  <c r="T6" i="7" s="1"/>
  <c r="Q7" i="7"/>
  <c r="T7" i="7" s="1"/>
  <c r="Q3" i="7"/>
  <c r="I4" i="7"/>
  <c r="J4" i="7" s="1"/>
  <c r="I5" i="7"/>
  <c r="J5" i="7" s="1"/>
  <c r="I6" i="7"/>
  <c r="J6" i="7" s="1"/>
  <c r="I7" i="7"/>
  <c r="J7" i="7" s="1"/>
  <c r="V4" i="7"/>
  <c r="V7" i="7"/>
  <c r="D8" i="4"/>
  <c r="D7" i="4"/>
  <c r="I3" i="7" l="1"/>
  <c r="J3" i="7" l="1"/>
  <c r="D11" i="4" l="1"/>
  <c r="D6" i="4"/>
  <c r="D5" i="4"/>
  <c r="V3" i="7" l="1"/>
  <c r="D31" i="4" s="1"/>
  <c r="U4" i="7"/>
  <c r="U7" i="7"/>
  <c r="U3" i="7"/>
  <c r="D30" i="4" l="1"/>
  <c r="D12" i="4"/>
  <c r="R4" i="7" l="1"/>
  <c r="R7" i="7"/>
  <c r="R6" i="7"/>
  <c r="R5" i="7"/>
  <c r="T3" i="7" l="1"/>
  <c r="D29" i="4" s="1"/>
  <c r="S7" i="7" l="1"/>
  <c r="W7" i="7" s="1"/>
  <c r="X7" i="7" s="1"/>
  <c r="S6" i="7"/>
  <c r="W6" i="7" s="1"/>
  <c r="X6" i="7" s="1"/>
  <c r="S5" i="7"/>
  <c r="W5" i="7" s="1"/>
  <c r="X5" i="7" s="1"/>
  <c r="S4" i="7"/>
  <c r="W4" i="7" s="1"/>
  <c r="X4" i="7" s="1"/>
  <c r="D32" i="4" l="1"/>
  <c r="C27" i="4" l="1"/>
  <c r="X1" i="7"/>
  <c r="R3" i="7" l="1"/>
  <c r="D13" i="4" s="1"/>
  <c r="S3" i="7" l="1"/>
  <c r="W3" i="7" s="1"/>
  <c r="D14" i="4" l="1"/>
  <c r="D33" i="4" s="1"/>
  <c r="X3" i="7" l="1"/>
  <c r="D25" i="4"/>
  <c r="D22" i="4"/>
  <c r="D17" i="4"/>
  <c r="D26" i="4"/>
  <c r="D19" i="4"/>
  <c r="D20" i="4"/>
  <c r="D21" i="4"/>
  <c r="D23" i="4"/>
  <c r="D24" i="4"/>
  <c r="D18" i="4"/>
  <c r="D27" i="4" l="1"/>
</calcChain>
</file>

<file path=xl/sharedStrings.xml><?xml version="1.0" encoding="utf-8"?>
<sst xmlns="http://schemas.openxmlformats.org/spreadsheetml/2006/main" count="95" uniqueCount="82">
  <si>
    <t>Sl. No.</t>
  </si>
  <si>
    <t>Apt. Status</t>
  </si>
  <si>
    <t>BASE RATE
/SFT</t>
  </si>
  <si>
    <t>Premium 
Charges</t>
  </si>
  <si>
    <t>Gross 
Apartment 
Value
(Rs.)</t>
  </si>
  <si>
    <t>AVLBL</t>
  </si>
  <si>
    <t>A</t>
  </si>
  <si>
    <t>Wing</t>
  </si>
  <si>
    <t>Saleable Area/ Super Builtup Area (Sq.ft.)</t>
  </si>
  <si>
    <t>Unit Price per sq.ft. on Saleable Area (Rs.)</t>
  </si>
  <si>
    <t>PAYMENT SCHEDULE</t>
  </si>
  <si>
    <t>On Possession/Registration whichever is earlier</t>
  </si>
  <si>
    <t xml:space="preserve">TOTAL </t>
  </si>
  <si>
    <t xml:space="preserve">Refundable Corpus Fund </t>
  </si>
  <si>
    <t>Note::</t>
  </si>
  <si>
    <t>Errors &amp; Omission Excepted</t>
  </si>
  <si>
    <t xml:space="preserve">Sale Value 
(Basic Cost+Car Park)
</t>
  </si>
  <si>
    <t xml:space="preserve">GST
on Sale Value
</t>
  </si>
  <si>
    <t xml:space="preserve">Basic Salevalue
with GST
</t>
  </si>
  <si>
    <t xml:space="preserve">Maintenance 
Charges 
</t>
  </si>
  <si>
    <t xml:space="preserve">Refundable
Corpus
Funds
</t>
  </si>
  <si>
    <t>GST applicable on Basic Sale Value (5%)</t>
  </si>
  <si>
    <t>All Inclusive 
Per Sft
Unit Price</t>
  </si>
  <si>
    <t>On completion of Excavation</t>
  </si>
  <si>
    <t xml:space="preserve">On completion of Foundation </t>
  </si>
  <si>
    <t>On completion of 1st Floor Slab</t>
  </si>
  <si>
    <t>Row Villa No.</t>
  </si>
  <si>
    <t>Row Villa Type</t>
  </si>
  <si>
    <t xml:space="preserve">Basic Sale Value </t>
  </si>
  <si>
    <t>Saleable Area/ Super Builtup Area (Sq.mt.)</t>
  </si>
  <si>
    <t>Premium Charges (If applicable)</t>
  </si>
  <si>
    <t>SOUKYA VILLAS - PRICE MASTER</t>
  </si>
  <si>
    <t>A1</t>
  </si>
  <si>
    <t>A2</t>
  </si>
  <si>
    <t>A3</t>
  </si>
  <si>
    <t>A4</t>
  </si>
  <si>
    <t>A5</t>
  </si>
  <si>
    <t>LUNA</t>
  </si>
  <si>
    <t>Salable Area
(Sq.ft)</t>
  </si>
  <si>
    <t>Salable Area
(Sq.mt)</t>
  </si>
  <si>
    <t>Land Area
(Sq.ft)</t>
  </si>
  <si>
    <t>Land Area
(Sq.mt)</t>
  </si>
  <si>
    <t>On completion of Ground Floor Slab</t>
  </si>
  <si>
    <t>On completion of Plastering</t>
  </si>
  <si>
    <t>On completion of Painting</t>
  </si>
  <si>
    <t>On completion of Block work</t>
  </si>
  <si>
    <t>On completion of Flooring</t>
  </si>
  <si>
    <t>Premium
&amp; 
Ultra Premium</t>
  </si>
  <si>
    <t>Premium</t>
  </si>
  <si>
    <t xml:space="preserve">
Reason 
for 
Premium</t>
  </si>
  <si>
    <t>2. GST as applicable to be borne by the allottee/s and payable along with every payments,should there be any changes by the governing authorities the same to be borne by the allottee/s.</t>
  </si>
  <si>
    <t xml:space="preserve">1. Stamp Duty, Registration Charges and any other statutory payments to the governing authorities are additional and payable at the time of Registration or posession whicever is earlier. </t>
  </si>
  <si>
    <t xml:space="preserve">6. Delayed payment interest charged would attract additional applicable GST &amp; incase of cancelation prior to agreement exectuion, refund amount will be after deducting GST. </t>
  </si>
  <si>
    <t xml:space="preserve">7. As per Sec 194-1A of the Income Tax Department; w.e.f from 01st June 2013,1% TDS is to be deducted from every installment paid towards  the purchase of immovable property that is above INR 50 Lakhs. </t>
  </si>
  <si>
    <t>10. Price Sheet &amp; Payment Schedule as on __________/__________/_____________</t>
  </si>
  <si>
    <t>E-stamping
Charges</t>
  </si>
  <si>
    <t>E-stamping Charges</t>
  </si>
  <si>
    <t xml:space="preserve">4. Balance 10% of the booking amount is payable within 7 days from the date of acceptance of the applications &amp; to be given as a post dated cheque at the time of booking. </t>
  </si>
  <si>
    <t xml:space="preserve">Maintenance Charges for 24 months @ Rs.7/- per sft per month </t>
  </si>
  <si>
    <t>4BHK ROW VILLA</t>
  </si>
  <si>
    <t>VILLA TYPE</t>
  </si>
  <si>
    <t>Corner Villa</t>
  </si>
  <si>
    <t xml:space="preserve">RIVIERA UNO - PRICE SHEET &amp; PAYMENT SCHEDULE </t>
  </si>
  <si>
    <t>Additional 
Land Area
(Sq.ft)</t>
  </si>
  <si>
    <t>OTHER CHARGES &amp; EXPENSES (B)</t>
  </si>
  <si>
    <t xml:space="preserve">Carpet Area in Sq.mt (RERA) </t>
  </si>
  <si>
    <t>Carpet Area      (sq.mts)</t>
  </si>
  <si>
    <t>Demarcated Land Area (Sq.mt.)</t>
  </si>
  <si>
    <t>Demarcated Land Area (Sq.ft.)</t>
  </si>
  <si>
    <t xml:space="preserve"> </t>
  </si>
  <si>
    <t>Villa No.</t>
  </si>
  <si>
    <t>Rate Per Sft
for 
Additional 
Land Area</t>
  </si>
  <si>
    <t xml:space="preserve">Allotted to: Mr. &amp; Mrs. </t>
  </si>
  <si>
    <r>
      <t xml:space="preserve">Refundable Earnest Amount Deposits </t>
    </r>
    <r>
      <rPr>
        <b/>
        <sz val="18"/>
        <color indexed="8"/>
        <rFont val="Book Antiqua"/>
        <family val="1"/>
      </rPr>
      <t>(READ)</t>
    </r>
  </si>
  <si>
    <r>
      <t xml:space="preserve">Balance Booking Amount after adjusting </t>
    </r>
    <r>
      <rPr>
        <b/>
        <sz val="18"/>
        <color indexed="8"/>
        <rFont val="Book Antiqua"/>
        <family val="1"/>
      </rPr>
      <t>(READ)</t>
    </r>
    <r>
      <rPr>
        <sz val="18"/>
        <color indexed="8"/>
        <rFont val="Book Antiqua"/>
        <family val="1"/>
      </rPr>
      <t xml:space="preserve"> payable upon agreement execution within 7 days from the accpetance of the application. </t>
    </r>
  </si>
  <si>
    <t>GROSS VALUE (A) + (B)</t>
  </si>
  <si>
    <r>
      <t xml:space="preserve">8. The above payment schedule is linked to construction stages. However as a special payment scheme opted by me/us. I/We agree to make payment as per the time bound schedule. I/We also understand and agree,  since the project completion is linked to construction stages and the same should be completed prior to the time bound schedule. I/We agree to make the necessary payments as and when 
</t>
    </r>
    <r>
      <rPr>
        <b/>
        <sz val="16"/>
        <rFont val="Book Antiqua"/>
        <family val="1"/>
      </rPr>
      <t>"NIRVANA DEVELOPERS"</t>
    </r>
    <r>
      <rPr>
        <sz val="16"/>
        <rFont val="Book Antiqua"/>
        <family val="1"/>
      </rPr>
      <t xml:space="preserve"> raises a demand of the same. </t>
    </r>
  </si>
  <si>
    <r>
      <t xml:space="preserve">9. Please note, if this document is undated/unsigned by the purcaser/s and if not countersigned by the representative/s of </t>
    </r>
    <r>
      <rPr>
        <b/>
        <sz val="16"/>
        <rFont val="Book Antiqua"/>
        <family val="1"/>
      </rPr>
      <t xml:space="preserve">"NIRVANA DEVELOPERS" </t>
    </r>
    <r>
      <rPr>
        <sz val="16"/>
        <rFont val="Book Antiqua"/>
        <family val="1"/>
      </rPr>
      <t xml:space="preserve">this will not be treated as a valid official documents &amp; there will be no confirmation for an allotment of an unit in the said project </t>
    </r>
    <r>
      <rPr>
        <b/>
        <sz val="16"/>
        <rFont val="Book Antiqua"/>
        <family val="1"/>
      </rPr>
      <t>"RIVIERA UNO" &amp; "NIRVANA DEVELOPERS"</t>
    </r>
    <r>
      <rPr>
        <sz val="16"/>
        <rFont val="Book Antiqua"/>
        <family val="1"/>
      </rPr>
      <t xml:space="preserve"> will not be responsible in whatsoever manner.</t>
    </r>
  </si>
  <si>
    <r>
      <t>5. All payments to be made favouring</t>
    </r>
    <r>
      <rPr>
        <b/>
        <sz val="16"/>
        <rFont val="Book Antiqua"/>
        <family val="1"/>
      </rPr>
      <t xml:space="preserve"> "NIRVANA DEVELOPERS RERA COLLECTION ACCOUNT FOR RIVIERA UNO"</t>
    </r>
    <r>
      <rPr>
        <sz val="16"/>
        <rFont val="Book Antiqua"/>
        <family val="1"/>
      </rPr>
      <t xml:space="preserve"> payable at Bangalore only. </t>
    </r>
  </si>
  <si>
    <t>BASIC SALE VALUE WITH GST (A)</t>
  </si>
  <si>
    <t>SUB TOTAL (B)</t>
  </si>
  <si>
    <t>3. Currently (GST @5% applicable on basic salevalue and on other charges and exepenses excluding Estamping &amp; Refundable corpus fund**) (18% GST applicable on maintenace charges).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</si>
</sst>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0.000"/>
  </numFmts>
  <fonts count="2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1"/>
      <name val="Book Antiqua"/>
      <family val="1"/>
    </font>
    <font>
      <b/>
      <sz val="12"/>
      <color theme="1"/>
      <name val="Book Antiqua"/>
      <family val="1"/>
    </font>
    <font>
      <sz val="11"/>
      <color theme="1"/>
      <name val="Book Antiqua"/>
      <family val="1"/>
    </font>
    <font>
      <b/>
      <sz val="14"/>
      <color indexed="8"/>
      <name val="Book Antiqua"/>
      <family val="1"/>
    </font>
    <font>
      <b/>
      <sz val="10"/>
      <name val="Book Antiqua"/>
      <family val="1"/>
    </font>
    <font>
      <sz val="10"/>
      <color indexed="8"/>
      <name val="Book Antiqua"/>
      <family val="1"/>
    </font>
    <font>
      <b/>
      <sz val="10"/>
      <color indexed="8"/>
      <name val="Book Antiqua"/>
      <family val="1"/>
    </font>
    <font>
      <sz val="10"/>
      <name val="Book Antiqua"/>
      <family val="1"/>
    </font>
    <font>
      <sz val="16"/>
      <name val="Book Antiqua"/>
      <family val="1"/>
    </font>
    <font>
      <b/>
      <sz val="20"/>
      <color indexed="8"/>
      <name val="Book Antiqua"/>
      <family val="1"/>
    </font>
    <font>
      <b/>
      <sz val="20"/>
      <name val="Book Antiqua"/>
      <family val="1"/>
    </font>
    <font>
      <b/>
      <sz val="18"/>
      <color indexed="8"/>
      <name val="Book Antiqua"/>
      <family val="1"/>
    </font>
    <font>
      <b/>
      <sz val="16"/>
      <name val="Book Antiqua"/>
      <family val="1"/>
    </font>
    <font>
      <b/>
      <sz val="22"/>
      <color theme="1"/>
      <name val="Book Antiqua"/>
      <family val="1"/>
    </font>
    <font>
      <sz val="18"/>
      <color theme="1"/>
      <name val="Book Antiqua"/>
      <family val="1"/>
    </font>
    <font>
      <sz val="18"/>
      <color indexed="8"/>
      <name val="Book Antiqua"/>
      <family val="1"/>
    </font>
    <font>
      <sz val="18"/>
      <name val="Book Antiqua"/>
      <family val="1"/>
    </font>
    <font>
      <b/>
      <u/>
      <sz val="16"/>
      <name val="Book Antiqua"/>
      <family val="1"/>
    </font>
    <font>
      <b/>
      <sz val="22"/>
      <name val="Book Antiqua"/>
      <family val="1"/>
    </font>
    <font>
      <b/>
      <sz val="20"/>
      <color theme="1"/>
      <name val="Book Antiqua"/>
      <family val="1"/>
    </font>
    <font>
      <u/>
      <sz val="11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8"/>
        <bgColor indexed="31"/>
      </patternFill>
    </fill>
    <fill>
      <patternFill patternType="solid">
        <fgColor theme="8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4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24" fillId="0" borderId="0" applyNumberFormat="0" applyFill="0" applyBorder="0" applyAlignment="0" applyProtection="0"/>
  </cellStyleXfs>
  <cellXfs count="124">
    <xf numFmtId="0" fontId="0" fillId="0" borderId="0" xfId="0"/>
    <xf numFmtId="0" fontId="0" fillId="0" borderId="0" xfId="0" applyAlignment="1" applyProtection="1">
      <alignment vertical="center"/>
      <protection locked="0"/>
    </xf>
    <xf numFmtId="0" fontId="0" fillId="0" borderId="0" xfId="0" applyProtection="1">
      <protection locked="0"/>
    </xf>
    <xf numFmtId="0" fontId="6" fillId="0" borderId="0" xfId="0" applyFont="1"/>
    <xf numFmtId="0" fontId="6" fillId="0" borderId="2" xfId="0" applyFont="1" applyBorder="1" applyAlignment="1">
      <alignment horizontal="center" vertical="center"/>
    </xf>
    <xf numFmtId="1" fontId="6" fillId="0" borderId="3" xfId="0" applyNumberFormat="1" applyFont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0" fillId="6" borderId="12" xfId="0" applyFill="1" applyBorder="1" applyAlignment="1">
      <alignment horizontal="center" vertical="center"/>
    </xf>
    <xf numFmtId="3" fontId="9" fillId="0" borderId="12" xfId="0" applyNumberFormat="1" applyFont="1" applyBorder="1" applyAlignment="1">
      <alignment horizontal="center" vertical="center"/>
    </xf>
    <xf numFmtId="3" fontId="9" fillId="6" borderId="12" xfId="0" applyNumberFormat="1" applyFont="1" applyFill="1" applyBorder="1" applyAlignment="1">
      <alignment horizontal="center" vertical="center"/>
    </xf>
    <xf numFmtId="1" fontId="9" fillId="6" borderId="12" xfId="0" applyNumberFormat="1" applyFont="1" applyFill="1" applyBorder="1" applyAlignment="1">
      <alignment horizontal="center" vertical="center"/>
    </xf>
    <xf numFmtId="165" fontId="9" fillId="6" borderId="12" xfId="0" applyNumberFormat="1" applyFont="1" applyFill="1" applyBorder="1" applyAlignment="1">
      <alignment horizontal="center" vertical="center"/>
    </xf>
    <xf numFmtId="2" fontId="8" fillId="4" borderId="12" xfId="0" applyNumberFormat="1" applyFont="1" applyFill="1" applyBorder="1" applyAlignment="1">
      <alignment horizontal="center" vertical="center" wrapText="1"/>
    </xf>
    <xf numFmtId="0" fontId="3" fillId="6" borderId="12" xfId="0" applyFont="1" applyFill="1" applyBorder="1" applyAlignment="1">
      <alignment horizontal="center" vertical="center"/>
    </xf>
    <xf numFmtId="0" fontId="11" fillId="6" borderId="12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/>
    </xf>
    <xf numFmtId="0" fontId="9" fillId="6" borderId="12" xfId="0" applyFont="1" applyFill="1" applyBorder="1" applyAlignment="1">
      <alignment horizontal="center" vertical="center"/>
    </xf>
    <xf numFmtId="2" fontId="9" fillId="6" borderId="12" xfId="0" applyNumberFormat="1" applyFont="1" applyFill="1" applyBorder="1" applyAlignment="1">
      <alignment horizontal="center" vertical="center"/>
    </xf>
    <xf numFmtId="3" fontId="10" fillId="0" borderId="12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8" fillId="7" borderId="3" xfId="0" applyFont="1" applyFill="1" applyBorder="1" applyAlignment="1" applyProtection="1">
      <alignment horizontal="center" vertical="center"/>
      <protection locked="0"/>
    </xf>
    <xf numFmtId="2" fontId="18" fillId="0" borderId="3" xfId="0" applyNumberFormat="1" applyFont="1" applyBorder="1" applyAlignment="1">
      <alignment horizontal="center" vertical="center"/>
    </xf>
    <xf numFmtId="1" fontId="18" fillId="0" borderId="3" xfId="0" applyNumberFormat="1" applyFont="1" applyBorder="1" applyAlignment="1">
      <alignment horizontal="center" vertical="center"/>
    </xf>
    <xf numFmtId="4" fontId="19" fillId="0" borderId="3" xfId="0" applyNumberFormat="1" applyFont="1" applyBorder="1" applyAlignment="1">
      <alignment horizontal="center" vertical="center"/>
    </xf>
    <xf numFmtId="3" fontId="19" fillId="0" borderId="3" xfId="0" applyNumberFormat="1" applyFont="1" applyBorder="1" applyAlignment="1">
      <alignment horizontal="center" vertical="center"/>
    </xf>
    <xf numFmtId="0" fontId="18" fillId="0" borderId="2" xfId="0" applyFont="1" applyBorder="1" applyAlignment="1">
      <alignment horizontal="left" vertical="center" wrapText="1"/>
    </xf>
    <xf numFmtId="3" fontId="18" fillId="0" borderId="3" xfId="0" applyNumberFormat="1" applyFont="1" applyBorder="1" applyAlignment="1">
      <alignment horizontal="center" vertical="center"/>
    </xf>
    <xf numFmtId="9" fontId="19" fillId="0" borderId="12" xfId="0" applyNumberFormat="1" applyFont="1" applyBorder="1" applyAlignment="1">
      <alignment horizontal="center" vertical="center"/>
    </xf>
    <xf numFmtId="3" fontId="20" fillId="0" borderId="34" xfId="0" applyNumberFormat="1" applyFont="1" applyBorder="1" applyAlignment="1">
      <alignment horizontal="center" vertical="center"/>
    </xf>
    <xf numFmtId="3" fontId="20" fillId="0" borderId="22" xfId="0" applyNumberFormat="1" applyFont="1" applyBorder="1" applyAlignment="1">
      <alignment horizontal="center" vertical="center"/>
    </xf>
    <xf numFmtId="3" fontId="22" fillId="7" borderId="13" xfId="0" applyNumberFormat="1" applyFont="1" applyFill="1" applyBorder="1" applyAlignment="1">
      <alignment horizontal="center" vertical="center"/>
    </xf>
    <xf numFmtId="3" fontId="14" fillId="7" borderId="35" xfId="0" applyNumberFormat="1" applyFont="1" applyFill="1" applyBorder="1" applyAlignment="1">
      <alignment horizontal="center" vertical="center"/>
    </xf>
    <xf numFmtId="3" fontId="19" fillId="0" borderId="6" xfId="0" applyNumberFormat="1" applyFont="1" applyBorder="1" applyAlignment="1">
      <alignment horizontal="center" vertical="center"/>
    </xf>
    <xf numFmtId="3" fontId="23" fillId="7" borderId="24" xfId="0" applyNumberFormat="1" applyFont="1" applyFill="1" applyBorder="1" applyAlignment="1">
      <alignment horizontal="center" vertical="center"/>
    </xf>
    <xf numFmtId="0" fontId="18" fillId="0" borderId="2" xfId="0" applyFont="1" applyBorder="1" applyAlignment="1">
      <alignment horizontal="left" vertical="center"/>
    </xf>
    <xf numFmtId="0" fontId="15" fillId="0" borderId="4" xfId="0" applyFont="1" applyBorder="1" applyAlignment="1" applyProtection="1">
      <alignment horizontal="center" vertical="center"/>
      <protection locked="0"/>
    </xf>
    <xf numFmtId="9" fontId="15" fillId="0" borderId="5" xfId="0" applyNumberFormat="1" applyFont="1" applyBorder="1" applyAlignment="1">
      <alignment horizontal="center" vertical="center"/>
    </xf>
    <xf numFmtId="3" fontId="4" fillId="0" borderId="6" xfId="0" applyNumberFormat="1" applyFont="1" applyBorder="1" applyAlignment="1">
      <alignment horizontal="center" vertical="center"/>
    </xf>
    <xf numFmtId="0" fontId="18" fillId="0" borderId="3" xfId="0" applyFont="1" applyBorder="1" applyAlignment="1" applyProtection="1">
      <alignment horizontal="center" vertical="center"/>
      <protection locked="0"/>
    </xf>
    <xf numFmtId="3" fontId="10" fillId="6" borderId="12" xfId="0" applyNumberFormat="1" applyFont="1" applyFill="1" applyBorder="1" applyAlignment="1">
      <alignment horizontal="center" vertical="center"/>
    </xf>
    <xf numFmtId="1" fontId="6" fillId="6" borderId="3" xfId="0" applyNumberFormat="1" applyFont="1" applyFill="1" applyBorder="1" applyAlignment="1">
      <alignment horizontal="center" vertical="center"/>
    </xf>
    <xf numFmtId="0" fontId="24" fillId="0" borderId="0" xfId="1" applyAlignment="1" applyProtection="1">
      <alignment vertical="center"/>
      <protection locked="0"/>
    </xf>
    <xf numFmtId="0" fontId="1" fillId="6" borderId="12" xfId="0" applyFont="1" applyFill="1" applyBorder="1" applyAlignment="1">
      <alignment horizontal="center" vertical="center"/>
    </xf>
    <xf numFmtId="2" fontId="8" fillId="3" borderId="38" xfId="0" applyNumberFormat="1" applyFont="1" applyFill="1" applyBorder="1" applyAlignment="1">
      <alignment horizontal="center" vertical="center" wrapText="1"/>
    </xf>
    <xf numFmtId="2" fontId="8" fillId="3" borderId="39" xfId="0" applyNumberFormat="1" applyFont="1" applyFill="1" applyBorder="1" applyAlignment="1">
      <alignment horizontal="center" vertical="center" wrapText="1"/>
    </xf>
    <xf numFmtId="2" fontId="8" fillId="4" borderId="38" xfId="0" applyNumberFormat="1" applyFont="1" applyFill="1" applyBorder="1" applyAlignment="1">
      <alignment horizontal="center" vertical="center" wrapText="1"/>
    </xf>
    <xf numFmtId="2" fontId="8" fillId="3" borderId="40" xfId="0" applyNumberFormat="1" applyFont="1" applyFill="1" applyBorder="1" applyAlignment="1">
      <alignment horizontal="center" vertical="center" wrapText="1"/>
    </xf>
    <xf numFmtId="2" fontId="8" fillId="4" borderId="40" xfId="0" applyNumberFormat="1" applyFont="1" applyFill="1" applyBorder="1" applyAlignment="1">
      <alignment horizontal="center" vertical="center" wrapText="1"/>
    </xf>
    <xf numFmtId="14" fontId="5" fillId="5" borderId="43" xfId="0" applyNumberFormat="1" applyFont="1" applyFill="1" applyBorder="1" applyAlignment="1">
      <alignment horizontal="center"/>
    </xf>
    <xf numFmtId="0" fontId="6" fillId="0" borderId="7" xfId="0" applyFont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1" fontId="9" fillId="6" borderId="1" xfId="0" applyNumberFormat="1" applyFont="1" applyFill="1" applyBorder="1" applyAlignment="1">
      <alignment horizontal="center" vertical="center"/>
    </xf>
    <xf numFmtId="3" fontId="9" fillId="6" borderId="1" xfId="0" applyNumberFormat="1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2" fontId="9" fillId="6" borderId="1" xfId="0" applyNumberFormat="1" applyFont="1" applyFill="1" applyBorder="1" applyAlignment="1">
      <alignment horizontal="center" vertical="center"/>
    </xf>
    <xf numFmtId="3" fontId="9" fillId="0" borderId="1" xfId="0" applyNumberFormat="1" applyFont="1" applyBorder="1" applyAlignment="1">
      <alignment horizontal="center" vertical="center"/>
    </xf>
    <xf numFmtId="3" fontId="10" fillId="0" borderId="1" xfId="0" applyNumberFormat="1" applyFont="1" applyBorder="1" applyAlignment="1">
      <alignment horizontal="center" vertical="center"/>
    </xf>
    <xf numFmtId="1" fontId="6" fillId="0" borderId="8" xfId="0" applyNumberFormat="1" applyFont="1" applyBorder="1" applyAlignment="1">
      <alignment horizontal="center" vertical="center"/>
    </xf>
    <xf numFmtId="2" fontId="8" fillId="3" borderId="14" xfId="0" applyNumberFormat="1" applyFont="1" applyFill="1" applyBorder="1" applyAlignment="1">
      <alignment horizontal="center" vertical="center" wrapText="1"/>
    </xf>
    <xf numFmtId="2" fontId="8" fillId="3" borderId="16" xfId="0" applyNumberFormat="1" applyFont="1" applyFill="1" applyBorder="1" applyAlignment="1">
      <alignment horizontal="center" vertical="center" wrapText="1"/>
    </xf>
    <xf numFmtId="2" fontId="8" fillId="3" borderId="15" xfId="0" applyNumberFormat="1" applyFont="1" applyFill="1" applyBorder="1" applyAlignment="1">
      <alignment horizontal="center" vertical="center" wrapText="1"/>
    </xf>
    <xf numFmtId="2" fontId="8" fillId="3" borderId="16" xfId="0" applyNumberFormat="1" applyFont="1" applyFill="1" applyBorder="1" applyAlignment="1">
      <alignment horizontal="center" vertical="center"/>
    </xf>
    <xf numFmtId="2" fontId="8" fillId="4" borderId="16" xfId="0" applyNumberFormat="1" applyFont="1" applyFill="1" applyBorder="1" applyAlignment="1">
      <alignment horizontal="center" vertical="center" wrapText="1"/>
    </xf>
    <xf numFmtId="2" fontId="8" fillId="4" borderId="14" xfId="0" applyNumberFormat="1" applyFont="1" applyFill="1" applyBorder="1" applyAlignment="1">
      <alignment horizontal="center" vertical="center" wrapText="1"/>
    </xf>
    <xf numFmtId="0" fontId="7" fillId="2" borderId="23" xfId="0" applyFont="1" applyFill="1" applyBorder="1" applyAlignment="1">
      <alignment horizontal="center" vertical="center"/>
    </xf>
    <xf numFmtId="0" fontId="7" fillId="2" borderId="24" xfId="0" applyFont="1" applyFill="1" applyBorder="1" applyAlignment="1">
      <alignment horizontal="center" vertical="center"/>
    </xf>
    <xf numFmtId="0" fontId="7" fillId="2" borderId="19" xfId="0" applyFont="1" applyFill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/>
    </xf>
    <xf numFmtId="0" fontId="7" fillId="2" borderId="21" xfId="0" applyFont="1" applyFill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41" xfId="0" applyFont="1" applyFill="1" applyBorder="1" applyAlignment="1">
      <alignment horizontal="center" vertical="center"/>
    </xf>
    <xf numFmtId="0" fontId="7" fillId="2" borderId="42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43" xfId="0" applyFont="1" applyFill="1" applyBorder="1" applyAlignment="1">
      <alignment horizontal="center" vertical="center"/>
    </xf>
    <xf numFmtId="0" fontId="23" fillId="7" borderId="23" xfId="0" applyFont="1" applyFill="1" applyBorder="1" applyAlignment="1" applyProtection="1">
      <alignment horizontal="center" vertical="center" wrapText="1"/>
      <protection locked="0"/>
    </xf>
    <xf numFmtId="0" fontId="23" fillId="7" borderId="21" xfId="0" applyFont="1" applyFill="1" applyBorder="1" applyAlignment="1" applyProtection="1">
      <alignment horizontal="center" vertical="center" wrapText="1"/>
      <protection locked="0"/>
    </xf>
    <xf numFmtId="0" fontId="20" fillId="0" borderId="9" xfId="0" applyFont="1" applyBorder="1" applyAlignment="1" applyProtection="1">
      <alignment horizontal="left" vertical="center"/>
      <protection locked="0"/>
    </xf>
    <xf numFmtId="0" fontId="20" fillId="0" borderId="11" xfId="0" applyFont="1" applyBorder="1" applyAlignment="1" applyProtection="1">
      <alignment horizontal="left" vertical="center"/>
      <protection locked="0"/>
    </xf>
    <xf numFmtId="0" fontId="20" fillId="0" borderId="2" xfId="0" applyFont="1" applyBorder="1" applyAlignment="1" applyProtection="1">
      <alignment horizontal="left" vertical="center"/>
      <protection locked="0"/>
    </xf>
    <xf numFmtId="0" fontId="20" fillId="0" borderId="3" xfId="0" applyFont="1" applyBorder="1" applyAlignment="1" applyProtection="1">
      <alignment horizontal="left" vertical="center"/>
      <protection locked="0"/>
    </xf>
    <xf numFmtId="0" fontId="18" fillId="0" borderId="2" xfId="0" applyFont="1" applyBorder="1" applyAlignment="1" applyProtection="1">
      <alignment horizontal="left" vertical="center"/>
      <protection locked="0"/>
    </xf>
    <xf numFmtId="0" fontId="18" fillId="0" borderId="12" xfId="0" applyFont="1" applyBorder="1" applyAlignment="1" applyProtection="1">
      <alignment horizontal="left" vertical="center"/>
      <protection locked="0"/>
    </xf>
    <xf numFmtId="0" fontId="18" fillId="0" borderId="4" xfId="0" applyFont="1" applyBorder="1" applyAlignment="1" applyProtection="1">
      <alignment horizontal="left" vertical="center"/>
      <protection locked="0"/>
    </xf>
    <xf numFmtId="0" fontId="18" fillId="0" borderId="5" xfId="0" applyFont="1" applyBorder="1" applyAlignment="1" applyProtection="1">
      <alignment horizontal="left" vertical="center"/>
      <protection locked="0"/>
    </xf>
    <xf numFmtId="0" fontId="17" fillId="7" borderId="23" xfId="0" applyFont="1" applyFill="1" applyBorder="1" applyAlignment="1" applyProtection="1">
      <alignment horizontal="center" vertical="center" wrapText="1"/>
      <protection locked="0"/>
    </xf>
    <xf numFmtId="0" fontId="17" fillId="7" borderId="21" xfId="0" applyFont="1" applyFill="1" applyBorder="1" applyAlignment="1" applyProtection="1">
      <alignment horizontal="center" vertical="center" wrapText="1"/>
      <protection locked="0"/>
    </xf>
    <xf numFmtId="0" fontId="17" fillId="7" borderId="24" xfId="0" applyFont="1" applyFill="1" applyBorder="1" applyAlignment="1" applyProtection="1">
      <alignment horizontal="center" vertical="center" wrapText="1"/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0" xfId="0" applyFont="1" applyBorder="1" applyAlignment="1" applyProtection="1">
      <alignment horizontal="left" vertical="center"/>
      <protection locked="0"/>
    </xf>
    <xf numFmtId="0" fontId="18" fillId="0" borderId="11" xfId="0" applyFont="1" applyBorder="1" applyAlignment="1" applyProtection="1">
      <alignment horizontal="left" vertical="center"/>
      <protection locked="0"/>
    </xf>
    <xf numFmtId="0" fontId="13" fillId="7" borderId="9" xfId="0" applyFont="1" applyFill="1" applyBorder="1" applyAlignment="1" applyProtection="1">
      <alignment horizontal="center" vertical="center"/>
      <protection locked="0"/>
    </xf>
    <xf numFmtId="0" fontId="13" fillId="7" borderId="10" xfId="0" applyFont="1" applyFill="1" applyBorder="1" applyAlignment="1" applyProtection="1">
      <alignment horizontal="center" vertical="center"/>
      <protection locked="0"/>
    </xf>
    <xf numFmtId="0" fontId="13" fillId="7" borderId="11" xfId="0" applyFont="1" applyFill="1" applyBorder="1" applyAlignment="1" applyProtection="1">
      <alignment horizontal="center" vertical="center"/>
      <protection locked="0"/>
    </xf>
    <xf numFmtId="0" fontId="12" fillId="0" borderId="32" xfId="0" applyFont="1" applyBorder="1" applyAlignment="1">
      <alignment horizontal="left" vertical="center" wrapText="1"/>
    </xf>
    <xf numFmtId="0" fontId="12" fillId="0" borderId="33" xfId="0" applyFont="1" applyBorder="1" applyAlignment="1">
      <alignment horizontal="left" vertical="center" wrapText="1"/>
    </xf>
    <xf numFmtId="0" fontId="12" fillId="0" borderId="22" xfId="0" applyFont="1" applyBorder="1" applyAlignment="1">
      <alignment horizontal="left" vertical="center" wrapText="1"/>
    </xf>
    <xf numFmtId="9" fontId="19" fillId="0" borderId="12" xfId="0" applyNumberFormat="1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22" fillId="7" borderId="17" xfId="0" applyFont="1" applyFill="1" applyBorder="1" applyAlignment="1" applyProtection="1">
      <alignment horizontal="center" vertical="center" wrapText="1"/>
      <protection locked="0"/>
    </xf>
    <xf numFmtId="0" fontId="22" fillId="7" borderId="25" xfId="0" applyFont="1" applyFill="1" applyBorder="1" applyAlignment="1" applyProtection="1">
      <alignment horizontal="center" vertical="center" wrapText="1"/>
      <protection locked="0"/>
    </xf>
    <xf numFmtId="0" fontId="0" fillId="0" borderId="26" xfId="0" applyBorder="1" applyAlignment="1" applyProtection="1">
      <alignment horizontal="center" vertical="center"/>
      <protection locked="0"/>
    </xf>
    <xf numFmtId="0" fontId="0" fillId="0" borderId="27" xfId="0" applyBorder="1" applyAlignment="1" applyProtection="1">
      <alignment horizontal="center" vertical="center"/>
      <protection locked="0"/>
    </xf>
    <xf numFmtId="0" fontId="0" fillId="0" borderId="28" xfId="0" applyBorder="1" applyAlignment="1" applyProtection="1">
      <alignment horizontal="center" vertical="center"/>
      <protection locked="0"/>
    </xf>
    <xf numFmtId="0" fontId="12" fillId="0" borderId="32" xfId="0" applyFont="1" applyBorder="1" applyAlignment="1">
      <alignment horizontal="left" vertical="center"/>
    </xf>
    <xf numFmtId="0" fontId="12" fillId="0" borderId="33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4" fillId="7" borderId="36" xfId="0" applyFont="1" applyFill="1" applyBorder="1" applyAlignment="1" applyProtection="1">
      <alignment horizontal="center" vertical="center"/>
      <protection locked="0"/>
    </xf>
    <xf numFmtId="0" fontId="14" fillId="7" borderId="37" xfId="0" applyFont="1" applyFill="1" applyBorder="1" applyAlignment="1" applyProtection="1">
      <alignment horizontal="center" vertical="center"/>
      <protection locked="0"/>
    </xf>
    <xf numFmtId="0" fontId="14" fillId="7" borderId="28" xfId="0" applyFont="1" applyFill="1" applyBorder="1" applyAlignment="1" applyProtection="1">
      <alignment horizontal="center" vertical="center"/>
      <protection locked="0"/>
    </xf>
    <xf numFmtId="0" fontId="21" fillId="0" borderId="7" xfId="0" applyFont="1" applyBorder="1" applyAlignment="1">
      <alignment horizontal="left" vertical="center"/>
    </xf>
    <xf numFmtId="0" fontId="21" fillId="0" borderId="1" xfId="0" applyFont="1" applyBorder="1" applyAlignment="1">
      <alignment horizontal="left" vertical="center"/>
    </xf>
    <xf numFmtId="0" fontId="21" fillId="0" borderId="8" xfId="0" applyFont="1" applyBorder="1" applyAlignment="1">
      <alignment horizontal="left" vertical="center"/>
    </xf>
    <xf numFmtId="0" fontId="12" fillId="0" borderId="32" xfId="0" applyFont="1" applyBorder="1" applyAlignment="1">
      <alignment horizontal="left"/>
    </xf>
    <xf numFmtId="0" fontId="12" fillId="0" borderId="33" xfId="0" applyFont="1" applyBorder="1" applyAlignment="1">
      <alignment horizontal="left"/>
    </xf>
    <xf numFmtId="0" fontId="12" fillId="0" borderId="22" xfId="0" applyFont="1" applyBorder="1" applyAlignment="1">
      <alignment horizontal="left"/>
    </xf>
    <xf numFmtId="0" fontId="12" fillId="0" borderId="29" xfId="0" applyFont="1" applyBorder="1" applyAlignment="1">
      <alignment horizontal="left" vertical="center"/>
    </xf>
    <xf numFmtId="0" fontId="12" fillId="0" borderId="30" xfId="0" applyFont="1" applyBorder="1" applyAlignment="1">
      <alignment horizontal="left" vertical="center"/>
    </xf>
    <xf numFmtId="0" fontId="12" fillId="0" borderId="31" xfId="0" applyFont="1" applyBorder="1" applyAlignment="1">
      <alignment horizontal="left" vertical="center"/>
    </xf>
    <xf numFmtId="0" fontId="20" fillId="0" borderId="2" xfId="0" applyFont="1" applyBorder="1" applyAlignment="1" applyProtection="1">
      <alignment horizontal="left" vertical="center" wrapText="1"/>
      <protection locked="0"/>
    </xf>
    <xf numFmtId="0" fontId="20" fillId="0" borderId="3" xfId="0" applyFont="1" applyBorder="1" applyAlignment="1" applyProtection="1">
      <alignment horizontal="left" vertical="center" wrapText="1"/>
      <protection locked="0"/>
    </xf>
    <xf numFmtId="0" fontId="23" fillId="7" borderId="4" xfId="0" applyFont="1" applyFill="1" applyBorder="1" applyAlignment="1" applyProtection="1">
      <alignment horizontal="center" vertical="center" wrapText="1"/>
      <protection locked="0"/>
    </xf>
    <xf numFmtId="0" fontId="23" fillId="7" borderId="6" xfId="0" applyFont="1" applyFill="1" applyBorder="1" applyAlignment="1" applyProtection="1">
      <alignment horizontal="center" vertical="center" wrapText="1"/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5050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46</xdr:row>
      <xdr:rowOff>0</xdr:rowOff>
    </xdr:from>
    <xdr:ext cx="184731" cy="24932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/>
      </xdr:nvSpPr>
      <xdr:spPr>
        <a:xfrm>
          <a:off x="7033895" y="21238845"/>
          <a:ext cx="184150" cy="2489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twoCellAnchor>
    <xdr:from>
      <xdr:col>1</xdr:col>
      <xdr:colOff>44448</xdr:colOff>
      <xdr:row>45</xdr:row>
      <xdr:rowOff>63500</xdr:rowOff>
    </xdr:from>
    <xdr:to>
      <xdr:col>3</xdr:col>
      <xdr:colOff>7581900</xdr:colOff>
      <xdr:row>45</xdr:row>
      <xdr:rowOff>2946400</xdr:rowOff>
    </xdr:to>
    <xdr:grpSp>
      <xdr:nvGrpSpPr>
        <xdr:cNvPr id="10" name="Group 9">
          <a:extLst>
            <a:ext uri="{FF2B5EF4-FFF2-40B4-BE49-F238E27FC236}">
              <a16:creationId xmlns:a16="http://schemas.microsoft.com/office/drawing/2014/main" id="{00000000-0008-0000-0A00-00000A000000}"/>
            </a:ext>
          </a:extLst>
        </xdr:cNvPr>
        <xdr:cNvGrpSpPr/>
      </xdr:nvGrpSpPr>
      <xdr:grpSpPr>
        <a:xfrm>
          <a:off x="857248" y="21170900"/>
          <a:ext cx="16973552" cy="2882900"/>
          <a:chOff x="28575" y="14268450"/>
          <a:chExt cx="11877675" cy="1924050"/>
        </a:xfrm>
      </xdr:grpSpPr>
      <xdr:sp macro="" textlink="">
        <xdr:nvSpPr>
          <xdr:cNvPr id="11" name="Rounded Rectangle 10">
            <a:extLst>
              <a:ext uri="{FF2B5EF4-FFF2-40B4-BE49-F238E27FC236}">
                <a16:creationId xmlns:a16="http://schemas.microsoft.com/office/drawing/2014/main" id="{00000000-0008-0000-0A00-00000B000000}"/>
              </a:ext>
            </a:extLst>
          </xdr:cNvPr>
          <xdr:cNvSpPr/>
        </xdr:nvSpPr>
        <xdr:spPr>
          <a:xfrm>
            <a:off x="28575" y="14268450"/>
            <a:ext cx="2231853" cy="1914525"/>
          </a:xfrm>
          <a:prstGeom prst="roundRect">
            <a:avLst/>
          </a:prstGeom>
          <a:ln>
            <a:headEnd type="none" w="med" len="med"/>
            <a:tailEnd type="none" w="med" len="med"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wrap="square" lIns="18288" tIns="0" rIns="0" bIns="0" rtlCol="0" anchor="t" upright="1">
            <a:scene3d>
              <a:camera prst="orthographicFront"/>
              <a:lightRig rig="threePt" dir="t"/>
            </a:scene3d>
            <a:sp3d extrusionH="57150">
              <a:bevelT w="38100" h="38100"/>
            </a:sp3d>
          </a:bodyPr>
          <a:lstStyle/>
          <a:p>
            <a:pPr algn="l"/>
            <a:endParaRPr lang="en-GB" sz="1100"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endParaRPr>
          </a:p>
          <a:p>
            <a:pPr algn="l"/>
            <a:endParaRPr lang="en-GB" sz="1100"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endParaRPr>
          </a:p>
          <a:p>
            <a:pPr algn="l"/>
            <a:endParaRPr lang="en-GB" sz="1100"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endParaRPr>
          </a:p>
          <a:p>
            <a:pPr algn="l"/>
            <a:endParaRPr lang="en-GB" sz="1100"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endParaRPr>
          </a:p>
          <a:p>
            <a:pPr algn="l"/>
            <a:endParaRPr lang="en-GB" sz="1100"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endParaRPr>
          </a:p>
          <a:p>
            <a:pPr algn="l"/>
            <a:endParaRPr lang="en-GB" sz="1100"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endParaRPr>
          </a:p>
          <a:p>
            <a:pPr algn="l"/>
            <a:endParaRPr lang="en-GB" sz="1100"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endParaRPr>
          </a:p>
          <a:p>
            <a:pPr algn="l"/>
            <a:endParaRPr lang="en-GB" sz="1100"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endParaRPr>
          </a:p>
          <a:p>
            <a:pPr algn="l"/>
            <a:r>
              <a:rPr lang="en-GB" sz="1100"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a:rPr>
              <a:t>       </a:t>
            </a:r>
          </a:p>
          <a:p>
            <a:pPr algn="l"/>
            <a:endParaRPr lang="en-GB" sz="1100"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endParaRPr>
          </a:p>
        </xdr:txBody>
      </xdr:sp>
      <xdr:sp macro="" textlink="">
        <xdr:nvSpPr>
          <xdr:cNvPr id="12" name="Rounded Rectangle 11">
            <a:extLst>
              <a:ext uri="{FF2B5EF4-FFF2-40B4-BE49-F238E27FC236}">
                <a16:creationId xmlns:a16="http://schemas.microsoft.com/office/drawing/2014/main" id="{00000000-0008-0000-0A00-00000C000000}"/>
              </a:ext>
            </a:extLst>
          </xdr:cNvPr>
          <xdr:cNvSpPr/>
        </xdr:nvSpPr>
        <xdr:spPr>
          <a:xfrm>
            <a:off x="2317901" y="14287500"/>
            <a:ext cx="1810388" cy="1905000"/>
          </a:xfrm>
          <a:prstGeom prst="roundRect">
            <a:avLst/>
          </a:prstGeom>
          <a:ln>
            <a:headEnd type="none" w="med" len="med"/>
            <a:tailEnd type="none" w="med" len="med"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wrap="square" lIns="18288" tIns="0" rIns="0" bIns="0" rtlCol="0" anchor="t" upright="1">
            <a:scene3d>
              <a:camera prst="orthographicFront"/>
              <a:lightRig rig="threePt" dir="t"/>
            </a:scene3d>
            <a:sp3d extrusionH="57150">
              <a:bevelT w="38100" h="38100"/>
            </a:sp3d>
          </a:bodyPr>
          <a:lstStyle/>
          <a:p>
            <a:pPr algn="l"/>
            <a:endParaRPr lang="en-GB" sz="1100"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endParaRPr>
          </a:p>
          <a:p>
            <a:pPr algn="l"/>
            <a:endParaRPr lang="en-GB" sz="1100"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endParaRPr>
          </a:p>
          <a:p>
            <a:pPr algn="l"/>
            <a:endParaRPr lang="en-GB" sz="1100"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endParaRPr>
          </a:p>
          <a:p>
            <a:pPr algn="l"/>
            <a:endParaRPr lang="en-GB" sz="1100"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endParaRPr>
          </a:p>
          <a:p>
            <a:pPr algn="l"/>
            <a:endParaRPr lang="en-GB" sz="1100"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endParaRPr>
          </a:p>
          <a:p>
            <a:pPr algn="l"/>
            <a:endParaRPr lang="en-GB" sz="1100"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endParaRPr>
          </a:p>
          <a:p>
            <a:pPr algn="l"/>
            <a:endParaRPr lang="en-GB" sz="1100"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endParaRPr>
          </a:p>
          <a:p>
            <a:pPr algn="l"/>
            <a:endParaRPr lang="en-GB" sz="1100"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endParaRPr>
          </a:p>
          <a:p>
            <a:pPr algn="l"/>
            <a:r>
              <a:rPr lang="en-GB" sz="1100"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a:rPr>
              <a:t>            </a:t>
            </a:r>
          </a:p>
          <a:p>
            <a:pPr algn="l"/>
            <a:endParaRPr lang="en-GB" sz="1100"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endParaRPr>
          </a:p>
        </xdr:txBody>
      </xdr:sp>
      <xdr:sp macro="" textlink="">
        <xdr:nvSpPr>
          <xdr:cNvPr id="13" name="Rounded Rectangle 12">
            <a:extLst>
              <a:ext uri="{FF2B5EF4-FFF2-40B4-BE49-F238E27FC236}">
                <a16:creationId xmlns:a16="http://schemas.microsoft.com/office/drawing/2014/main" id="{00000000-0008-0000-0A00-00000D000000}"/>
              </a:ext>
            </a:extLst>
          </xdr:cNvPr>
          <xdr:cNvSpPr/>
        </xdr:nvSpPr>
        <xdr:spPr>
          <a:xfrm>
            <a:off x="4204919" y="14287500"/>
            <a:ext cx="1810388" cy="1905000"/>
          </a:xfrm>
          <a:prstGeom prst="roundRect">
            <a:avLst/>
          </a:prstGeom>
          <a:ln>
            <a:headEnd type="none" w="med" len="med"/>
            <a:tailEnd type="none" w="med" len="med"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wrap="square" lIns="18288" tIns="0" rIns="0" bIns="0" rtlCol="0" anchor="t" upright="1">
            <a:scene3d>
              <a:camera prst="orthographicFront"/>
              <a:lightRig rig="threePt" dir="t"/>
            </a:scene3d>
            <a:sp3d extrusionH="57150">
              <a:bevelT w="38100" h="38100"/>
            </a:sp3d>
          </a:bodyPr>
          <a:lstStyle/>
          <a:p>
            <a:pPr algn="l"/>
            <a:endParaRPr lang="en-GB" sz="1100"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endParaRPr>
          </a:p>
          <a:p>
            <a:pPr algn="l"/>
            <a:endParaRPr lang="en-GB" sz="1100"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endParaRPr>
          </a:p>
          <a:p>
            <a:pPr algn="l"/>
            <a:endParaRPr lang="en-GB" sz="1100"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endParaRPr>
          </a:p>
          <a:p>
            <a:pPr algn="l"/>
            <a:endParaRPr lang="en-GB" sz="1100"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endParaRPr>
          </a:p>
          <a:p>
            <a:pPr algn="l"/>
            <a:endParaRPr lang="en-GB" sz="1100"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endParaRPr>
          </a:p>
          <a:p>
            <a:pPr algn="l"/>
            <a:endParaRPr lang="en-GB" sz="1100"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endParaRPr>
          </a:p>
          <a:p>
            <a:pPr algn="l"/>
            <a:endParaRPr lang="en-GB" sz="1100"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endParaRPr>
          </a:p>
          <a:p>
            <a:pPr algn="l"/>
            <a:endParaRPr lang="en-GB" sz="1100"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endParaRPr>
          </a:p>
          <a:p>
            <a:pPr algn="l"/>
            <a:r>
              <a:rPr lang="en-GB" sz="1100"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a:rPr>
              <a:t>          </a:t>
            </a:r>
          </a:p>
          <a:p>
            <a:pPr algn="l"/>
            <a:r>
              <a:rPr lang="en-GB" sz="1100"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a:rPr>
              <a:t>           </a:t>
            </a:r>
            <a:endParaRPr lang="en-GB" sz="1100"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</a:endParaRPr>
          </a:p>
        </xdr:txBody>
      </xdr:sp>
      <xdr:sp macro="" textlink="">
        <xdr:nvSpPr>
          <xdr:cNvPr id="14" name="Rounded Rectangle 13">
            <a:extLst>
              <a:ext uri="{FF2B5EF4-FFF2-40B4-BE49-F238E27FC236}">
                <a16:creationId xmlns:a16="http://schemas.microsoft.com/office/drawing/2014/main" id="{00000000-0008-0000-0A00-00000E000000}"/>
              </a:ext>
            </a:extLst>
          </xdr:cNvPr>
          <xdr:cNvSpPr/>
        </xdr:nvSpPr>
        <xdr:spPr>
          <a:xfrm>
            <a:off x="6091937" y="14287500"/>
            <a:ext cx="1810388" cy="1905000"/>
          </a:xfrm>
          <a:prstGeom prst="roundRect">
            <a:avLst/>
          </a:prstGeom>
          <a:ln>
            <a:headEnd type="none" w="med" len="med"/>
            <a:tailEnd type="none" w="med" len="med"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wrap="square" lIns="18288" tIns="0" rIns="0" bIns="0" rtlCol="0" anchor="t" upright="1">
            <a:scene3d>
              <a:camera prst="orthographicFront"/>
              <a:lightRig rig="threePt" dir="t"/>
            </a:scene3d>
            <a:sp3d extrusionH="57150">
              <a:bevelT w="38100" h="38100"/>
            </a:sp3d>
          </a:bodyPr>
          <a:lstStyle/>
          <a:p>
            <a:pPr algn="l"/>
            <a:endParaRPr lang="en-GB" sz="1100"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endParaRPr>
          </a:p>
          <a:p>
            <a:pPr algn="l"/>
            <a:endParaRPr lang="en-GB" sz="1100"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endParaRPr>
          </a:p>
          <a:p>
            <a:pPr algn="l"/>
            <a:endParaRPr lang="en-GB" sz="1100"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endParaRPr>
          </a:p>
          <a:p>
            <a:pPr algn="l"/>
            <a:endParaRPr lang="en-GB" sz="1100"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endParaRPr>
          </a:p>
          <a:p>
            <a:pPr algn="l"/>
            <a:endParaRPr lang="en-GB" sz="1100"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endParaRPr>
          </a:p>
          <a:p>
            <a:pPr algn="l"/>
            <a:endParaRPr lang="en-GB" sz="1100"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endParaRPr>
          </a:p>
          <a:p>
            <a:pPr algn="l"/>
            <a:endParaRPr lang="en-GB" sz="1100"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endParaRPr>
          </a:p>
          <a:p>
            <a:pPr algn="l"/>
            <a:endParaRPr lang="en-GB" sz="1100"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endParaRPr>
          </a:p>
          <a:p>
            <a:pPr algn="l"/>
            <a:r>
              <a:rPr lang="en-GB" sz="1100"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a:rPr>
              <a:t>                 </a:t>
            </a:r>
          </a:p>
          <a:p>
            <a:pPr algn="l"/>
            <a:r>
              <a:rPr lang="en-GB" sz="1100"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a:rPr>
              <a:t>                 </a:t>
            </a:r>
            <a:endParaRPr lang="en-GB" sz="1100"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</a:endParaRPr>
          </a:p>
        </xdr:txBody>
      </xdr:sp>
      <xdr:sp macro="" textlink="">
        <xdr:nvSpPr>
          <xdr:cNvPr id="15" name="Rounded Rectangle 14">
            <a:extLst>
              <a:ext uri="{FF2B5EF4-FFF2-40B4-BE49-F238E27FC236}">
                <a16:creationId xmlns:a16="http://schemas.microsoft.com/office/drawing/2014/main" id="{00000000-0008-0000-0A00-00000F000000}"/>
              </a:ext>
            </a:extLst>
          </xdr:cNvPr>
          <xdr:cNvSpPr/>
        </xdr:nvSpPr>
        <xdr:spPr>
          <a:xfrm>
            <a:off x="7960012" y="14287500"/>
            <a:ext cx="1810388" cy="1905000"/>
          </a:xfrm>
          <a:prstGeom prst="roundRect">
            <a:avLst/>
          </a:prstGeom>
          <a:ln>
            <a:headEnd type="none" w="med" len="med"/>
            <a:tailEnd type="none" w="med" len="med"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wrap="square" lIns="18288" tIns="0" rIns="0" bIns="0" rtlCol="0" anchor="t" upright="1">
            <a:scene3d>
              <a:camera prst="orthographicFront"/>
              <a:lightRig rig="threePt" dir="t"/>
            </a:scene3d>
            <a:sp3d extrusionH="57150">
              <a:bevelT w="38100" h="38100"/>
            </a:sp3d>
          </a:bodyPr>
          <a:lstStyle/>
          <a:p>
            <a:pPr algn="l"/>
            <a:endParaRPr lang="en-GB" sz="1100"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endParaRPr>
          </a:p>
          <a:p>
            <a:pPr algn="l"/>
            <a:endParaRPr lang="en-GB" sz="1100"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endParaRPr>
          </a:p>
          <a:p>
            <a:pPr algn="l"/>
            <a:endParaRPr lang="en-GB" sz="1100"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endParaRPr>
          </a:p>
          <a:p>
            <a:pPr algn="l"/>
            <a:endParaRPr lang="en-GB" sz="1100"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endParaRPr>
          </a:p>
          <a:p>
            <a:pPr algn="l"/>
            <a:endParaRPr lang="en-GB" sz="1100"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endParaRPr>
          </a:p>
          <a:p>
            <a:pPr algn="l"/>
            <a:endParaRPr lang="en-GB" sz="1100"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endParaRPr>
          </a:p>
          <a:p>
            <a:pPr algn="l"/>
            <a:endParaRPr lang="en-GB" sz="1100"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endParaRPr>
          </a:p>
          <a:p>
            <a:pPr algn="l"/>
            <a:endParaRPr lang="en-GB" sz="1100"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endParaRPr>
          </a:p>
          <a:p>
            <a:pPr algn="l"/>
            <a:r>
              <a:rPr lang="en-GB" sz="1100"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a:rPr>
              <a:t>              </a:t>
            </a:r>
          </a:p>
        </xdr:txBody>
      </xdr:sp>
      <xdr:sp macro="" textlink="">
        <xdr:nvSpPr>
          <xdr:cNvPr id="16" name="Rounded Rectangle 15">
            <a:extLst>
              <a:ext uri="{FF2B5EF4-FFF2-40B4-BE49-F238E27FC236}">
                <a16:creationId xmlns:a16="http://schemas.microsoft.com/office/drawing/2014/main" id="{00000000-0008-0000-0A00-000010000000}"/>
              </a:ext>
            </a:extLst>
          </xdr:cNvPr>
          <xdr:cNvSpPr/>
        </xdr:nvSpPr>
        <xdr:spPr>
          <a:xfrm>
            <a:off x="9839325" y="14287500"/>
            <a:ext cx="2066925" cy="1905000"/>
          </a:xfrm>
          <a:prstGeom prst="roundRect">
            <a:avLst/>
          </a:prstGeom>
          <a:ln>
            <a:headEnd type="none" w="med" len="med"/>
            <a:tailEnd type="none" w="med" len="med"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wrap="square" lIns="18288" tIns="0" rIns="0" bIns="0" rtlCol="0" anchor="t" upright="1">
            <a:scene3d>
              <a:camera prst="orthographicFront"/>
              <a:lightRig rig="threePt" dir="t"/>
            </a:scene3d>
            <a:sp3d extrusionH="57150">
              <a:bevelT w="38100" h="38100"/>
            </a:sp3d>
          </a:bodyPr>
          <a:lstStyle/>
          <a:p>
            <a:pPr algn="l"/>
            <a:endParaRPr lang="en-GB" sz="1100"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endParaRPr>
          </a:p>
          <a:p>
            <a:pPr algn="l"/>
            <a:endParaRPr lang="en-GB" sz="1100"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endParaRPr>
          </a:p>
          <a:p>
            <a:pPr algn="l"/>
            <a:endParaRPr lang="en-GB" sz="1100"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endParaRPr>
          </a:p>
          <a:p>
            <a:pPr algn="l"/>
            <a:endParaRPr lang="en-GB" sz="1100"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endParaRPr>
          </a:p>
          <a:p>
            <a:pPr algn="l"/>
            <a:endParaRPr lang="en-GB" sz="1100"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endParaRPr>
          </a:p>
          <a:p>
            <a:pPr algn="l"/>
            <a:endParaRPr lang="en-GB" sz="1100"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endParaRPr>
          </a:p>
          <a:p>
            <a:pPr algn="l"/>
            <a:endParaRPr lang="en-GB" sz="1100"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endParaRPr>
          </a:p>
          <a:p>
            <a:pPr algn="l"/>
            <a:endParaRPr lang="en-GB" sz="1100"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endParaRPr>
          </a:p>
          <a:p>
            <a:pPr algn="l"/>
            <a:r>
              <a:rPr lang="en-GB" sz="1100"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a:rPr>
              <a:t>     </a:t>
            </a:r>
          </a:p>
          <a:p>
            <a:pPr algn="l"/>
            <a:r>
              <a:rPr lang="en-GB" sz="1100"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a:rPr>
              <a:t>      </a:t>
            </a:r>
            <a:endParaRPr lang="en-GB" sz="1100"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A00-000011000000}"/>
              </a:ext>
            </a:extLst>
          </xdr:cNvPr>
          <xdr:cNvSpPr txBox="1"/>
        </xdr:nvSpPr>
        <xdr:spPr>
          <a:xfrm>
            <a:off x="203652" y="15926849"/>
            <a:ext cx="1752600" cy="23812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GB" sz="1100" b="1"/>
              <a:t>      </a:t>
            </a:r>
            <a:r>
              <a:rPr lang="en-GB" sz="1400" b="1"/>
              <a:t>PURCHASER/S</a:t>
            </a:r>
            <a:r>
              <a:rPr lang="en-GB" sz="1400" b="1" baseline="0"/>
              <a:t> SIGNATURE</a:t>
            </a:r>
            <a:endParaRPr lang="en-GB" sz="1400" b="1"/>
          </a:p>
        </xdr:txBody>
      </xdr:sp>
      <xdr:sp macro="" textlink="">
        <xdr:nvSpPr>
          <xdr:cNvPr id="18" name="TextBox 17">
            <a:extLst>
              <a:ext uri="{FF2B5EF4-FFF2-40B4-BE49-F238E27FC236}">
                <a16:creationId xmlns:a16="http://schemas.microsoft.com/office/drawing/2014/main" id="{00000000-0008-0000-0A00-000012000000}"/>
              </a:ext>
            </a:extLst>
          </xdr:cNvPr>
          <xdr:cNvSpPr txBox="1"/>
        </xdr:nvSpPr>
        <xdr:spPr>
          <a:xfrm>
            <a:off x="2581880" y="15946947"/>
            <a:ext cx="1314450" cy="2190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GB" sz="1100" b="1"/>
              <a:t>      </a:t>
            </a:r>
            <a:r>
              <a:rPr lang="en-GB" sz="1400" b="1"/>
              <a:t>SALES</a:t>
            </a:r>
            <a:r>
              <a:rPr lang="en-GB" sz="1400" b="1" baseline="0"/>
              <a:t> </a:t>
            </a:r>
            <a:r>
              <a:rPr lang="en-GB" sz="1400" b="1"/>
              <a:t> ADVISOR</a:t>
            </a:r>
          </a:p>
        </xdr:txBody>
      </xdr:sp>
      <xdr:sp macro="" textlink="">
        <xdr:nvSpPr>
          <xdr:cNvPr id="19" name="TextBox 18">
            <a:extLst>
              <a:ext uri="{FF2B5EF4-FFF2-40B4-BE49-F238E27FC236}">
                <a16:creationId xmlns:a16="http://schemas.microsoft.com/office/drawing/2014/main" id="{00000000-0008-0000-0A00-000013000000}"/>
              </a:ext>
            </a:extLst>
          </xdr:cNvPr>
          <xdr:cNvSpPr txBox="1"/>
        </xdr:nvSpPr>
        <xdr:spPr>
          <a:xfrm>
            <a:off x="4448176" y="15938472"/>
            <a:ext cx="1352550" cy="2190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GB" sz="1400" b="1"/>
              <a:t>     AGM/DGM SALES</a:t>
            </a:r>
          </a:p>
        </xdr:txBody>
      </xdr:sp>
      <xdr:sp macro="" textlink="">
        <xdr:nvSpPr>
          <xdr:cNvPr id="20" name="TextBox 19">
            <a:extLst>
              <a:ext uri="{FF2B5EF4-FFF2-40B4-BE49-F238E27FC236}">
                <a16:creationId xmlns:a16="http://schemas.microsoft.com/office/drawing/2014/main" id="{00000000-0008-0000-0A00-000014000000}"/>
              </a:ext>
            </a:extLst>
          </xdr:cNvPr>
          <xdr:cNvSpPr txBox="1"/>
        </xdr:nvSpPr>
        <xdr:spPr>
          <a:xfrm>
            <a:off x="6390671" y="15938471"/>
            <a:ext cx="1247775" cy="219076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GB" sz="1400" b="1"/>
              <a:t>          HEAD CRM</a:t>
            </a:r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A00-000015000000}"/>
              </a:ext>
            </a:extLst>
          </xdr:cNvPr>
          <xdr:cNvSpPr txBox="1"/>
        </xdr:nvSpPr>
        <xdr:spPr>
          <a:xfrm>
            <a:off x="8200420" y="15928947"/>
            <a:ext cx="1381125" cy="2286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GB" sz="1400" b="1"/>
              <a:t>          APPROVED BY</a:t>
            </a: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A00-000016000000}"/>
              </a:ext>
            </a:extLst>
          </xdr:cNvPr>
          <xdr:cNvSpPr txBox="1"/>
        </xdr:nvSpPr>
        <xdr:spPr>
          <a:xfrm>
            <a:off x="10059005" y="15912728"/>
            <a:ext cx="1638300" cy="22860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GB" sz="1400" b="1"/>
              <a:t>      AUTHORISED SIGNATORY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A1:Z7"/>
  <sheetViews>
    <sheetView tabSelected="1" zoomScaleNormal="100" workbookViewId="0">
      <selection activeCell="D11" sqref="D11"/>
    </sheetView>
  </sheetViews>
  <sheetFormatPr defaultColWidth="9.109375" defaultRowHeight="14.4"/>
  <cols>
    <col min="1" max="1" width="6.44140625" style="3" customWidth="1"/>
    <col min="2" max="2" width="9.109375" style="3"/>
    <col min="3" max="3" width="13.44140625" style="3" customWidth="1"/>
    <col min="4" max="4" width="30.5546875" style="3" customWidth="1"/>
    <col min="5" max="5" width="11.109375" style="3" customWidth="1"/>
    <col min="6" max="6" width="9.109375" style="3" customWidth="1"/>
    <col min="7" max="7" width="13.21875" style="3" customWidth="1"/>
    <col min="8" max="8" width="16.6640625" style="3" customWidth="1"/>
    <col min="9" max="9" width="14.88671875" style="3" customWidth="1"/>
    <col min="10" max="10" width="11.44140625" style="3" customWidth="1"/>
    <col min="11" max="11" width="15.77734375" style="3" customWidth="1"/>
    <col min="12" max="12" width="14.33203125" style="3" customWidth="1"/>
    <col min="13" max="13" width="11.21875" style="3" customWidth="1"/>
    <col min="14" max="14" width="0.21875" style="3" customWidth="1"/>
    <col min="15" max="15" width="9.77734375" style="3" customWidth="1"/>
    <col min="16" max="16" width="13.44140625" style="3" customWidth="1"/>
    <col min="17" max="17" width="14.88671875" style="3" customWidth="1"/>
    <col min="18" max="18" width="13.33203125" style="3" customWidth="1"/>
    <col min="19" max="19" width="14.88671875" style="3" customWidth="1"/>
    <col min="20" max="20" width="13.44140625" style="3" customWidth="1"/>
    <col min="21" max="21" width="14" style="3" customWidth="1"/>
    <col min="22" max="22" width="15.6640625" style="3" customWidth="1"/>
    <col min="23" max="23" width="15.44140625" style="3" bestFit="1" customWidth="1"/>
    <col min="24" max="24" width="13.33203125" style="3" customWidth="1"/>
    <col min="25" max="16384" width="9.109375" style="3"/>
  </cols>
  <sheetData>
    <row r="1" spans="1:26" ht="27" customHeight="1" thickBot="1">
      <c r="A1" s="65" t="s">
        <v>31</v>
      </c>
      <c r="B1" s="66"/>
      <c r="C1" s="67"/>
      <c r="D1" s="68"/>
      <c r="E1" s="65"/>
      <c r="F1" s="69"/>
      <c r="G1" s="66"/>
      <c r="H1" s="70"/>
      <c r="I1" s="71"/>
      <c r="J1" s="72"/>
      <c r="K1" s="69"/>
      <c r="L1" s="73"/>
      <c r="M1" s="65"/>
      <c r="N1" s="69"/>
      <c r="O1" s="69"/>
      <c r="P1" s="66"/>
      <c r="Q1" s="72"/>
      <c r="R1" s="69"/>
      <c r="S1" s="69"/>
      <c r="T1" s="74"/>
      <c r="U1" s="74"/>
      <c r="V1" s="68"/>
      <c r="W1" s="75"/>
      <c r="X1" s="48">
        <f ca="1">TODAY()</f>
        <v>46237</v>
      </c>
    </row>
    <row r="2" spans="1:26" ht="55.8" customHeight="1" thickBot="1">
      <c r="A2" s="59" t="s">
        <v>0</v>
      </c>
      <c r="B2" s="60" t="s">
        <v>70</v>
      </c>
      <c r="C2" s="46" t="s">
        <v>47</v>
      </c>
      <c r="D2" s="43" t="s">
        <v>49</v>
      </c>
      <c r="E2" s="59" t="s">
        <v>1</v>
      </c>
      <c r="F2" s="61" t="s">
        <v>7</v>
      </c>
      <c r="G2" s="62" t="s">
        <v>60</v>
      </c>
      <c r="H2" s="46" t="s">
        <v>41</v>
      </c>
      <c r="I2" s="44" t="s">
        <v>40</v>
      </c>
      <c r="J2" s="59" t="s">
        <v>63</v>
      </c>
      <c r="K2" s="61" t="s">
        <v>71</v>
      </c>
      <c r="L2" s="61" t="s">
        <v>39</v>
      </c>
      <c r="M2" s="61" t="s">
        <v>38</v>
      </c>
      <c r="N2" s="61" t="s">
        <v>66</v>
      </c>
      <c r="O2" s="61" t="s">
        <v>2</v>
      </c>
      <c r="P2" s="61" t="s">
        <v>3</v>
      </c>
      <c r="Q2" s="61" t="s">
        <v>16</v>
      </c>
      <c r="R2" s="61" t="s">
        <v>17</v>
      </c>
      <c r="S2" s="63" t="s">
        <v>18</v>
      </c>
      <c r="T2" s="47" t="s">
        <v>55</v>
      </c>
      <c r="U2" s="12" t="s">
        <v>19</v>
      </c>
      <c r="V2" s="45" t="s">
        <v>20</v>
      </c>
      <c r="W2" s="64" t="s">
        <v>4</v>
      </c>
      <c r="X2" s="63" t="s">
        <v>22</v>
      </c>
      <c r="Z2" s="19"/>
    </row>
    <row r="3" spans="1:26">
      <c r="A3" s="49">
        <v>1</v>
      </c>
      <c r="B3" s="50" t="s">
        <v>32</v>
      </c>
      <c r="C3" s="7" t="s">
        <v>48</v>
      </c>
      <c r="D3" s="13" t="s">
        <v>61</v>
      </c>
      <c r="E3" s="15" t="s">
        <v>5</v>
      </c>
      <c r="F3" s="51" t="s">
        <v>6</v>
      </c>
      <c r="G3" s="51" t="s">
        <v>37</v>
      </c>
      <c r="H3" s="7">
        <v>186.49</v>
      </c>
      <c r="I3" s="11">
        <f>H3*10.76391041671</f>
        <v>2007.3616536122481</v>
      </c>
      <c r="J3" s="52">
        <f>I3-2007.362</f>
        <v>-3.4638775196071947E-4</v>
      </c>
      <c r="K3" s="53"/>
      <c r="L3" s="54">
        <v>324.23</v>
      </c>
      <c r="M3" s="52">
        <v>3490</v>
      </c>
      <c r="N3" s="55">
        <v>232.14</v>
      </c>
      <c r="O3" s="53">
        <v>11300</v>
      </c>
      <c r="P3" s="56">
        <v>1000000</v>
      </c>
      <c r="Q3" s="56">
        <f>(M3*O3)+P3</f>
        <v>40437000</v>
      </c>
      <c r="R3" s="56">
        <f t="shared" ref="R3:R7" si="0">Q3*5%</f>
        <v>2021850</v>
      </c>
      <c r="S3" s="56">
        <f t="shared" ref="S3:S7" si="1">(Q3+R3)</f>
        <v>42458850</v>
      </c>
      <c r="T3" s="8">
        <f t="shared" ref="T3:T7" si="2">Q3*0.5%</f>
        <v>202185</v>
      </c>
      <c r="U3" s="8">
        <f t="shared" ref="U3:U7" si="3">(7*24*M3)+(7*24*M3)*18%</f>
        <v>691857.6</v>
      </c>
      <c r="V3" s="8">
        <f t="shared" ref="V3:V7" si="4">(84*M3)</f>
        <v>293160</v>
      </c>
      <c r="W3" s="57">
        <f>SUM(S3+T3+U3+V3)</f>
        <v>43646052.600000001</v>
      </c>
      <c r="X3" s="58">
        <f t="shared" ref="X3:X7" si="5">W3/M3</f>
        <v>12506.032263610316</v>
      </c>
      <c r="Z3" s="19"/>
    </row>
    <row r="4" spans="1:26">
      <c r="A4" s="6">
        <v>2</v>
      </c>
      <c r="B4" s="42" t="s">
        <v>33</v>
      </c>
      <c r="C4" s="7"/>
      <c r="D4" s="7"/>
      <c r="E4" s="15" t="s">
        <v>5</v>
      </c>
      <c r="F4" s="15" t="s">
        <v>6</v>
      </c>
      <c r="G4" s="15" t="s">
        <v>37</v>
      </c>
      <c r="H4" s="7">
        <v>186.49</v>
      </c>
      <c r="I4" s="11">
        <f t="shared" ref="I4:I7" si="6">H4*10.76391041671</f>
        <v>2007.3616536122481</v>
      </c>
      <c r="J4" s="10">
        <f t="shared" ref="J4:J7" si="7">I4-2007.362</f>
        <v>-3.4638775196071947E-4</v>
      </c>
      <c r="K4" s="9"/>
      <c r="L4" s="16">
        <v>324.23</v>
      </c>
      <c r="M4" s="10">
        <v>3490</v>
      </c>
      <c r="N4" s="17">
        <v>232.14</v>
      </c>
      <c r="O4" s="8">
        <v>12292</v>
      </c>
      <c r="P4" s="8">
        <v>0</v>
      </c>
      <c r="Q4" s="9">
        <f t="shared" ref="Q4:Q7" si="8">(M4*O4)+P4</f>
        <v>42899080</v>
      </c>
      <c r="R4" s="9">
        <f t="shared" si="0"/>
        <v>2144954</v>
      </c>
      <c r="S4" s="9">
        <f t="shared" si="1"/>
        <v>45044034</v>
      </c>
      <c r="T4" s="9">
        <f t="shared" si="2"/>
        <v>214495.4</v>
      </c>
      <c r="U4" s="9">
        <f t="shared" si="3"/>
        <v>691857.6</v>
      </c>
      <c r="V4" s="9">
        <f t="shared" si="4"/>
        <v>293160</v>
      </c>
      <c r="W4" s="39">
        <f t="shared" ref="W4:W7" si="9">SUM(S4+T4+U4+V4)</f>
        <v>46243547</v>
      </c>
      <c r="X4" s="40">
        <f t="shared" si="5"/>
        <v>13250.3</v>
      </c>
    </row>
    <row r="5" spans="1:26">
      <c r="A5" s="4">
        <v>3</v>
      </c>
      <c r="B5" s="14" t="s">
        <v>34</v>
      </c>
      <c r="C5" s="14"/>
      <c r="D5" s="14"/>
      <c r="E5" s="15" t="s">
        <v>5</v>
      </c>
      <c r="F5" s="15" t="s">
        <v>6</v>
      </c>
      <c r="G5" s="15" t="s">
        <v>37</v>
      </c>
      <c r="H5" s="7">
        <v>186.49</v>
      </c>
      <c r="I5" s="11">
        <f t="shared" si="6"/>
        <v>2007.3616536122481</v>
      </c>
      <c r="J5" s="10">
        <f t="shared" si="7"/>
        <v>-3.4638775196071947E-4</v>
      </c>
      <c r="K5" s="9"/>
      <c r="L5" s="16">
        <v>324.23</v>
      </c>
      <c r="M5" s="10">
        <v>3490</v>
      </c>
      <c r="N5" s="17">
        <v>232.14</v>
      </c>
      <c r="O5" s="8">
        <v>12281</v>
      </c>
      <c r="P5" s="9">
        <v>0</v>
      </c>
      <c r="Q5" s="9">
        <f t="shared" si="8"/>
        <v>42860690</v>
      </c>
      <c r="R5" s="9">
        <f t="shared" si="0"/>
        <v>2143034.5</v>
      </c>
      <c r="S5" s="9">
        <f t="shared" si="1"/>
        <v>45003724.5</v>
      </c>
      <c r="T5" s="9">
        <f t="shared" si="2"/>
        <v>214303.45</v>
      </c>
      <c r="U5" s="9">
        <f t="shared" si="3"/>
        <v>691857.6</v>
      </c>
      <c r="V5" s="9">
        <f t="shared" si="4"/>
        <v>293160</v>
      </c>
      <c r="W5" s="39">
        <f t="shared" si="9"/>
        <v>46203045.550000004</v>
      </c>
      <c r="X5" s="5">
        <f t="shared" si="5"/>
        <v>13238.695000000002</v>
      </c>
    </row>
    <row r="6" spans="1:26">
      <c r="A6" s="4">
        <v>4</v>
      </c>
      <c r="B6" s="14" t="s">
        <v>35</v>
      </c>
      <c r="C6" s="14"/>
      <c r="D6" s="14"/>
      <c r="E6" s="15" t="s">
        <v>5</v>
      </c>
      <c r="F6" s="15" t="s">
        <v>6</v>
      </c>
      <c r="G6" s="15" t="s">
        <v>37</v>
      </c>
      <c r="H6" s="7">
        <v>186.49</v>
      </c>
      <c r="I6" s="11">
        <f t="shared" si="6"/>
        <v>2007.3616536122481</v>
      </c>
      <c r="J6" s="10">
        <f t="shared" si="7"/>
        <v>-3.4638775196071947E-4</v>
      </c>
      <c r="K6" s="9"/>
      <c r="L6" s="16">
        <v>324.23</v>
      </c>
      <c r="M6" s="10">
        <v>3490</v>
      </c>
      <c r="N6" s="17">
        <v>232.14</v>
      </c>
      <c r="O6" s="8">
        <v>14000</v>
      </c>
      <c r="P6" s="8">
        <v>0</v>
      </c>
      <c r="Q6" s="8">
        <f t="shared" si="8"/>
        <v>48860000</v>
      </c>
      <c r="R6" s="8">
        <f t="shared" si="0"/>
        <v>2443000</v>
      </c>
      <c r="S6" s="8">
        <f t="shared" si="1"/>
        <v>51303000</v>
      </c>
      <c r="T6" s="9">
        <f t="shared" si="2"/>
        <v>244300</v>
      </c>
      <c r="U6" s="9">
        <f t="shared" si="3"/>
        <v>691857.6</v>
      </c>
      <c r="V6" s="9">
        <f t="shared" si="4"/>
        <v>293160</v>
      </c>
      <c r="W6" s="18">
        <f t="shared" si="9"/>
        <v>52532317.600000001</v>
      </c>
      <c r="X6" s="5">
        <f t="shared" si="5"/>
        <v>15052.24</v>
      </c>
    </row>
    <row r="7" spans="1:26">
      <c r="A7" s="4">
        <v>5</v>
      </c>
      <c r="B7" s="14" t="s">
        <v>36</v>
      </c>
      <c r="C7" s="14"/>
      <c r="D7" s="14"/>
      <c r="E7" s="15" t="s">
        <v>5</v>
      </c>
      <c r="F7" s="15" t="s">
        <v>6</v>
      </c>
      <c r="G7" s="15" t="s">
        <v>37</v>
      </c>
      <c r="H7" s="7">
        <v>186.49</v>
      </c>
      <c r="I7" s="11">
        <f t="shared" si="6"/>
        <v>2007.3616536122481</v>
      </c>
      <c r="J7" s="10">
        <f t="shared" si="7"/>
        <v>-3.4638775196071947E-4</v>
      </c>
      <c r="K7" s="9"/>
      <c r="L7" s="16">
        <v>324.23</v>
      </c>
      <c r="M7" s="10">
        <v>3490</v>
      </c>
      <c r="N7" s="17">
        <v>232.14</v>
      </c>
      <c r="O7" s="9">
        <v>12050</v>
      </c>
      <c r="P7" s="8">
        <v>0</v>
      </c>
      <c r="Q7" s="8">
        <f t="shared" si="8"/>
        <v>42054500</v>
      </c>
      <c r="R7" s="8">
        <f t="shared" si="0"/>
        <v>2102725</v>
      </c>
      <c r="S7" s="8">
        <f t="shared" si="1"/>
        <v>44157225</v>
      </c>
      <c r="T7" s="8">
        <f t="shared" si="2"/>
        <v>210272.5</v>
      </c>
      <c r="U7" s="8">
        <f t="shared" si="3"/>
        <v>691857.6</v>
      </c>
      <c r="V7" s="8">
        <f t="shared" si="4"/>
        <v>293160</v>
      </c>
      <c r="W7" s="18">
        <f t="shared" si="9"/>
        <v>45352515.100000001</v>
      </c>
      <c r="X7" s="5">
        <f t="shared" si="5"/>
        <v>12994.99</v>
      </c>
      <c r="Z7" s="19"/>
    </row>
  </sheetData>
  <autoFilter ref="A2:X7"/>
  <mergeCells count="1">
    <mergeCell ref="A1:W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  <pageSetUpPr fitToPage="1"/>
  </sheetPr>
  <dimension ref="B1:I47"/>
  <sheetViews>
    <sheetView showGridLines="0" zoomScale="60" zoomScaleNormal="60" zoomScalePageLayoutView="50" workbookViewId="0">
      <selection activeCell="B15" sqref="B15:D15"/>
    </sheetView>
  </sheetViews>
  <sheetFormatPr defaultColWidth="9" defaultRowHeight="14.4"/>
  <cols>
    <col min="1" max="1" width="11.77734375" style="2" customWidth="1"/>
    <col min="2" max="2" width="123.5546875" style="2" customWidth="1"/>
    <col min="3" max="3" width="14.109375" style="2" customWidth="1"/>
    <col min="4" max="4" width="111.109375" style="2" customWidth="1"/>
    <col min="5" max="253" width="9.109375" style="2"/>
    <col min="254" max="254" width="82.33203125" style="2" customWidth="1"/>
    <col min="255" max="255" width="9.109375" style="2"/>
    <col min="256" max="258" width="8.6640625" style="2" customWidth="1"/>
    <col min="259" max="259" width="34.6640625" style="2" customWidth="1"/>
    <col min="260" max="260" width="27" style="2" customWidth="1"/>
    <col min="261" max="509" width="9.109375" style="2"/>
    <col min="510" max="510" width="82.33203125" style="2" customWidth="1"/>
    <col min="511" max="511" width="9.109375" style="2"/>
    <col min="512" max="514" width="8.6640625" style="2" customWidth="1"/>
    <col min="515" max="515" width="34.6640625" style="2" customWidth="1"/>
    <col min="516" max="516" width="27" style="2" customWidth="1"/>
    <col min="517" max="765" width="9.109375" style="2"/>
    <col min="766" max="766" width="82.33203125" style="2" customWidth="1"/>
    <col min="767" max="767" width="9.109375" style="2"/>
    <col min="768" max="770" width="8.6640625" style="2" customWidth="1"/>
    <col min="771" max="771" width="34.6640625" style="2" customWidth="1"/>
    <col min="772" max="772" width="27" style="2" customWidth="1"/>
    <col min="773" max="1021" width="9.109375" style="2"/>
    <col min="1022" max="1022" width="82.33203125" style="2" customWidth="1"/>
    <col min="1023" max="1023" width="9.109375" style="2"/>
    <col min="1024" max="1026" width="8.6640625" style="2" customWidth="1"/>
    <col min="1027" max="1027" width="34.6640625" style="2" customWidth="1"/>
    <col min="1028" max="1028" width="27" style="2" customWidth="1"/>
    <col min="1029" max="1277" width="9.109375" style="2"/>
    <col min="1278" max="1278" width="82.33203125" style="2" customWidth="1"/>
    <col min="1279" max="1279" width="9.109375" style="2"/>
    <col min="1280" max="1282" width="8.6640625" style="2" customWidth="1"/>
    <col min="1283" max="1283" width="34.6640625" style="2" customWidth="1"/>
    <col min="1284" max="1284" width="27" style="2" customWidth="1"/>
    <col min="1285" max="1533" width="9.109375" style="2"/>
    <col min="1534" max="1534" width="82.33203125" style="2" customWidth="1"/>
    <col min="1535" max="1535" width="9.109375" style="2"/>
    <col min="1536" max="1538" width="8.6640625" style="2" customWidth="1"/>
    <col min="1539" max="1539" width="34.6640625" style="2" customWidth="1"/>
    <col min="1540" max="1540" width="27" style="2" customWidth="1"/>
    <col min="1541" max="1789" width="9.109375" style="2"/>
    <col min="1790" max="1790" width="82.33203125" style="2" customWidth="1"/>
    <col min="1791" max="1791" width="9.109375" style="2"/>
    <col min="1792" max="1794" width="8.6640625" style="2" customWidth="1"/>
    <col min="1795" max="1795" width="34.6640625" style="2" customWidth="1"/>
    <col min="1796" max="1796" width="27" style="2" customWidth="1"/>
    <col min="1797" max="2045" width="9.109375" style="2"/>
    <col min="2046" max="2046" width="82.33203125" style="2" customWidth="1"/>
    <col min="2047" max="2047" width="9.109375" style="2"/>
    <col min="2048" max="2050" width="8.6640625" style="2" customWidth="1"/>
    <col min="2051" max="2051" width="34.6640625" style="2" customWidth="1"/>
    <col min="2052" max="2052" width="27" style="2" customWidth="1"/>
    <col min="2053" max="2301" width="9.109375" style="2"/>
    <col min="2302" max="2302" width="82.33203125" style="2" customWidth="1"/>
    <col min="2303" max="2303" width="9.109375" style="2"/>
    <col min="2304" max="2306" width="8.6640625" style="2" customWidth="1"/>
    <col min="2307" max="2307" width="34.6640625" style="2" customWidth="1"/>
    <col min="2308" max="2308" width="27" style="2" customWidth="1"/>
    <col min="2309" max="2557" width="9.109375" style="2"/>
    <col min="2558" max="2558" width="82.33203125" style="2" customWidth="1"/>
    <col min="2559" max="2559" width="9.109375" style="2"/>
    <col min="2560" max="2562" width="8.6640625" style="2" customWidth="1"/>
    <col min="2563" max="2563" width="34.6640625" style="2" customWidth="1"/>
    <col min="2564" max="2564" width="27" style="2" customWidth="1"/>
    <col min="2565" max="2813" width="9.109375" style="2"/>
    <col min="2814" max="2814" width="82.33203125" style="2" customWidth="1"/>
    <col min="2815" max="2815" width="9.109375" style="2"/>
    <col min="2816" max="2818" width="8.6640625" style="2" customWidth="1"/>
    <col min="2819" max="2819" width="34.6640625" style="2" customWidth="1"/>
    <col min="2820" max="2820" width="27" style="2" customWidth="1"/>
    <col min="2821" max="3069" width="9.109375" style="2"/>
    <col min="3070" max="3070" width="82.33203125" style="2" customWidth="1"/>
    <col min="3071" max="3071" width="9.109375" style="2"/>
    <col min="3072" max="3074" width="8.6640625" style="2" customWidth="1"/>
    <col min="3075" max="3075" width="34.6640625" style="2" customWidth="1"/>
    <col min="3076" max="3076" width="27" style="2" customWidth="1"/>
    <col min="3077" max="3325" width="9.109375" style="2"/>
    <col min="3326" max="3326" width="82.33203125" style="2" customWidth="1"/>
    <col min="3327" max="3327" width="9.109375" style="2"/>
    <col min="3328" max="3330" width="8.6640625" style="2" customWidth="1"/>
    <col min="3331" max="3331" width="34.6640625" style="2" customWidth="1"/>
    <col min="3332" max="3332" width="27" style="2" customWidth="1"/>
    <col min="3333" max="3581" width="9.109375" style="2"/>
    <col min="3582" max="3582" width="82.33203125" style="2" customWidth="1"/>
    <col min="3583" max="3583" width="9.109375" style="2"/>
    <col min="3584" max="3586" width="8.6640625" style="2" customWidth="1"/>
    <col min="3587" max="3587" width="34.6640625" style="2" customWidth="1"/>
    <col min="3588" max="3588" width="27" style="2" customWidth="1"/>
    <col min="3589" max="3837" width="9.109375" style="2"/>
    <col min="3838" max="3838" width="82.33203125" style="2" customWidth="1"/>
    <col min="3839" max="3839" width="9.109375" style="2"/>
    <col min="3840" max="3842" width="8.6640625" style="2" customWidth="1"/>
    <col min="3843" max="3843" width="34.6640625" style="2" customWidth="1"/>
    <col min="3844" max="3844" width="27" style="2" customWidth="1"/>
    <col min="3845" max="4093" width="9.109375" style="2"/>
    <col min="4094" max="4094" width="82.33203125" style="2" customWidth="1"/>
    <col min="4095" max="4095" width="9.109375" style="2"/>
    <col min="4096" max="4098" width="8.6640625" style="2" customWidth="1"/>
    <col min="4099" max="4099" width="34.6640625" style="2" customWidth="1"/>
    <col min="4100" max="4100" width="27" style="2" customWidth="1"/>
    <col min="4101" max="4349" width="9.109375" style="2"/>
    <col min="4350" max="4350" width="82.33203125" style="2" customWidth="1"/>
    <col min="4351" max="4351" width="9.109375" style="2"/>
    <col min="4352" max="4354" width="8.6640625" style="2" customWidth="1"/>
    <col min="4355" max="4355" width="34.6640625" style="2" customWidth="1"/>
    <col min="4356" max="4356" width="27" style="2" customWidth="1"/>
    <col min="4357" max="4605" width="9.109375" style="2"/>
    <col min="4606" max="4606" width="82.33203125" style="2" customWidth="1"/>
    <col min="4607" max="4607" width="9.109375" style="2"/>
    <col min="4608" max="4610" width="8.6640625" style="2" customWidth="1"/>
    <col min="4611" max="4611" width="34.6640625" style="2" customWidth="1"/>
    <col min="4612" max="4612" width="27" style="2" customWidth="1"/>
    <col min="4613" max="4861" width="9.109375" style="2"/>
    <col min="4862" max="4862" width="82.33203125" style="2" customWidth="1"/>
    <col min="4863" max="4863" width="9.109375" style="2"/>
    <col min="4864" max="4866" width="8.6640625" style="2" customWidth="1"/>
    <col min="4867" max="4867" width="34.6640625" style="2" customWidth="1"/>
    <col min="4868" max="4868" width="27" style="2" customWidth="1"/>
    <col min="4869" max="5117" width="9.109375" style="2"/>
    <col min="5118" max="5118" width="82.33203125" style="2" customWidth="1"/>
    <col min="5119" max="5119" width="9.109375" style="2"/>
    <col min="5120" max="5122" width="8.6640625" style="2" customWidth="1"/>
    <col min="5123" max="5123" width="34.6640625" style="2" customWidth="1"/>
    <col min="5124" max="5124" width="27" style="2" customWidth="1"/>
    <col min="5125" max="5373" width="9.109375" style="2"/>
    <col min="5374" max="5374" width="82.33203125" style="2" customWidth="1"/>
    <col min="5375" max="5375" width="9.109375" style="2"/>
    <col min="5376" max="5378" width="8.6640625" style="2" customWidth="1"/>
    <col min="5379" max="5379" width="34.6640625" style="2" customWidth="1"/>
    <col min="5380" max="5380" width="27" style="2" customWidth="1"/>
    <col min="5381" max="5629" width="9.109375" style="2"/>
    <col min="5630" max="5630" width="82.33203125" style="2" customWidth="1"/>
    <col min="5631" max="5631" width="9.109375" style="2"/>
    <col min="5632" max="5634" width="8.6640625" style="2" customWidth="1"/>
    <col min="5635" max="5635" width="34.6640625" style="2" customWidth="1"/>
    <col min="5636" max="5636" width="27" style="2" customWidth="1"/>
    <col min="5637" max="5885" width="9.109375" style="2"/>
    <col min="5886" max="5886" width="82.33203125" style="2" customWidth="1"/>
    <col min="5887" max="5887" width="9.109375" style="2"/>
    <col min="5888" max="5890" width="8.6640625" style="2" customWidth="1"/>
    <col min="5891" max="5891" width="34.6640625" style="2" customWidth="1"/>
    <col min="5892" max="5892" width="27" style="2" customWidth="1"/>
    <col min="5893" max="6141" width="9.109375" style="2"/>
    <col min="6142" max="6142" width="82.33203125" style="2" customWidth="1"/>
    <col min="6143" max="6143" width="9.109375" style="2"/>
    <col min="6144" max="6146" width="8.6640625" style="2" customWidth="1"/>
    <col min="6147" max="6147" width="34.6640625" style="2" customWidth="1"/>
    <col min="6148" max="6148" width="27" style="2" customWidth="1"/>
    <col min="6149" max="6397" width="9.109375" style="2"/>
    <col min="6398" max="6398" width="82.33203125" style="2" customWidth="1"/>
    <col min="6399" max="6399" width="9.109375" style="2"/>
    <col min="6400" max="6402" width="8.6640625" style="2" customWidth="1"/>
    <col min="6403" max="6403" width="34.6640625" style="2" customWidth="1"/>
    <col min="6404" max="6404" width="27" style="2" customWidth="1"/>
    <col min="6405" max="6653" width="9.109375" style="2"/>
    <col min="6654" max="6654" width="82.33203125" style="2" customWidth="1"/>
    <col min="6655" max="6655" width="9.109375" style="2"/>
    <col min="6656" max="6658" width="8.6640625" style="2" customWidth="1"/>
    <col min="6659" max="6659" width="34.6640625" style="2" customWidth="1"/>
    <col min="6660" max="6660" width="27" style="2" customWidth="1"/>
    <col min="6661" max="6909" width="9.109375" style="2"/>
    <col min="6910" max="6910" width="82.33203125" style="2" customWidth="1"/>
    <col min="6911" max="6911" width="9.109375" style="2"/>
    <col min="6912" max="6914" width="8.6640625" style="2" customWidth="1"/>
    <col min="6915" max="6915" width="34.6640625" style="2" customWidth="1"/>
    <col min="6916" max="6916" width="27" style="2" customWidth="1"/>
    <col min="6917" max="7165" width="9.109375" style="2"/>
    <col min="7166" max="7166" width="82.33203125" style="2" customWidth="1"/>
    <col min="7167" max="7167" width="9.109375" style="2"/>
    <col min="7168" max="7170" width="8.6640625" style="2" customWidth="1"/>
    <col min="7171" max="7171" width="34.6640625" style="2" customWidth="1"/>
    <col min="7172" max="7172" width="27" style="2" customWidth="1"/>
    <col min="7173" max="7421" width="9.109375" style="2"/>
    <col min="7422" max="7422" width="82.33203125" style="2" customWidth="1"/>
    <col min="7423" max="7423" width="9.109375" style="2"/>
    <col min="7424" max="7426" width="8.6640625" style="2" customWidth="1"/>
    <col min="7427" max="7427" width="34.6640625" style="2" customWidth="1"/>
    <col min="7428" max="7428" width="27" style="2" customWidth="1"/>
    <col min="7429" max="7677" width="9.109375" style="2"/>
    <col min="7678" max="7678" width="82.33203125" style="2" customWidth="1"/>
    <col min="7679" max="7679" width="9.109375" style="2"/>
    <col min="7680" max="7682" width="8.6640625" style="2" customWidth="1"/>
    <col min="7683" max="7683" width="34.6640625" style="2" customWidth="1"/>
    <col min="7684" max="7684" width="27" style="2" customWidth="1"/>
    <col min="7685" max="7933" width="9.109375" style="2"/>
    <col min="7934" max="7934" width="82.33203125" style="2" customWidth="1"/>
    <col min="7935" max="7935" width="9.109375" style="2"/>
    <col min="7936" max="7938" width="8.6640625" style="2" customWidth="1"/>
    <col min="7939" max="7939" width="34.6640625" style="2" customWidth="1"/>
    <col min="7940" max="7940" width="27" style="2" customWidth="1"/>
    <col min="7941" max="8189" width="9.109375" style="2"/>
    <col min="8190" max="8190" width="82.33203125" style="2" customWidth="1"/>
    <col min="8191" max="8191" width="9.109375" style="2"/>
    <col min="8192" max="8194" width="8.6640625" style="2" customWidth="1"/>
    <col min="8195" max="8195" width="34.6640625" style="2" customWidth="1"/>
    <col min="8196" max="8196" width="27" style="2" customWidth="1"/>
    <col min="8197" max="8445" width="9.109375" style="2"/>
    <col min="8446" max="8446" width="82.33203125" style="2" customWidth="1"/>
    <col min="8447" max="8447" width="9.109375" style="2"/>
    <col min="8448" max="8450" width="8.6640625" style="2" customWidth="1"/>
    <col min="8451" max="8451" width="34.6640625" style="2" customWidth="1"/>
    <col min="8452" max="8452" width="27" style="2" customWidth="1"/>
    <col min="8453" max="8701" width="9.109375" style="2"/>
    <col min="8702" max="8702" width="82.33203125" style="2" customWidth="1"/>
    <col min="8703" max="8703" width="9.109375" style="2"/>
    <col min="8704" max="8706" width="8.6640625" style="2" customWidth="1"/>
    <col min="8707" max="8707" width="34.6640625" style="2" customWidth="1"/>
    <col min="8708" max="8708" width="27" style="2" customWidth="1"/>
    <col min="8709" max="8957" width="9.109375" style="2"/>
    <col min="8958" max="8958" width="82.33203125" style="2" customWidth="1"/>
    <col min="8959" max="8959" width="9.109375" style="2"/>
    <col min="8960" max="8962" width="8.6640625" style="2" customWidth="1"/>
    <col min="8963" max="8963" width="34.6640625" style="2" customWidth="1"/>
    <col min="8964" max="8964" width="27" style="2" customWidth="1"/>
    <col min="8965" max="9213" width="9.109375" style="2"/>
    <col min="9214" max="9214" width="82.33203125" style="2" customWidth="1"/>
    <col min="9215" max="9215" width="9.109375" style="2"/>
    <col min="9216" max="9218" width="8.6640625" style="2" customWidth="1"/>
    <col min="9219" max="9219" width="34.6640625" style="2" customWidth="1"/>
    <col min="9220" max="9220" width="27" style="2" customWidth="1"/>
    <col min="9221" max="9469" width="9.109375" style="2"/>
    <col min="9470" max="9470" width="82.33203125" style="2" customWidth="1"/>
    <col min="9471" max="9471" width="9.109375" style="2"/>
    <col min="9472" max="9474" width="8.6640625" style="2" customWidth="1"/>
    <col min="9475" max="9475" width="34.6640625" style="2" customWidth="1"/>
    <col min="9476" max="9476" width="27" style="2" customWidth="1"/>
    <col min="9477" max="9725" width="9.109375" style="2"/>
    <col min="9726" max="9726" width="82.33203125" style="2" customWidth="1"/>
    <col min="9727" max="9727" width="9.109375" style="2"/>
    <col min="9728" max="9730" width="8.6640625" style="2" customWidth="1"/>
    <col min="9731" max="9731" width="34.6640625" style="2" customWidth="1"/>
    <col min="9732" max="9732" width="27" style="2" customWidth="1"/>
    <col min="9733" max="9981" width="9.109375" style="2"/>
    <col min="9982" max="9982" width="82.33203125" style="2" customWidth="1"/>
    <col min="9983" max="9983" width="9.109375" style="2"/>
    <col min="9984" max="9986" width="8.6640625" style="2" customWidth="1"/>
    <col min="9987" max="9987" width="34.6640625" style="2" customWidth="1"/>
    <col min="9988" max="9988" width="27" style="2" customWidth="1"/>
    <col min="9989" max="10237" width="9.109375" style="2"/>
    <col min="10238" max="10238" width="82.33203125" style="2" customWidth="1"/>
    <col min="10239" max="10239" width="9.109375" style="2"/>
    <col min="10240" max="10242" width="8.6640625" style="2" customWidth="1"/>
    <col min="10243" max="10243" width="34.6640625" style="2" customWidth="1"/>
    <col min="10244" max="10244" width="27" style="2" customWidth="1"/>
    <col min="10245" max="10493" width="9.109375" style="2"/>
    <col min="10494" max="10494" width="82.33203125" style="2" customWidth="1"/>
    <col min="10495" max="10495" width="9.109375" style="2"/>
    <col min="10496" max="10498" width="8.6640625" style="2" customWidth="1"/>
    <col min="10499" max="10499" width="34.6640625" style="2" customWidth="1"/>
    <col min="10500" max="10500" width="27" style="2" customWidth="1"/>
    <col min="10501" max="10749" width="9.109375" style="2"/>
    <col min="10750" max="10750" width="82.33203125" style="2" customWidth="1"/>
    <col min="10751" max="10751" width="9.109375" style="2"/>
    <col min="10752" max="10754" width="8.6640625" style="2" customWidth="1"/>
    <col min="10755" max="10755" width="34.6640625" style="2" customWidth="1"/>
    <col min="10756" max="10756" width="27" style="2" customWidth="1"/>
    <col min="10757" max="11005" width="9.109375" style="2"/>
    <col min="11006" max="11006" width="82.33203125" style="2" customWidth="1"/>
    <col min="11007" max="11007" width="9.109375" style="2"/>
    <col min="11008" max="11010" width="8.6640625" style="2" customWidth="1"/>
    <col min="11011" max="11011" width="34.6640625" style="2" customWidth="1"/>
    <col min="11012" max="11012" width="27" style="2" customWidth="1"/>
    <col min="11013" max="11261" width="9.109375" style="2"/>
    <col min="11262" max="11262" width="82.33203125" style="2" customWidth="1"/>
    <col min="11263" max="11263" width="9.109375" style="2"/>
    <col min="11264" max="11266" width="8.6640625" style="2" customWidth="1"/>
    <col min="11267" max="11267" width="34.6640625" style="2" customWidth="1"/>
    <col min="11268" max="11268" width="27" style="2" customWidth="1"/>
    <col min="11269" max="11517" width="9.109375" style="2"/>
    <col min="11518" max="11518" width="82.33203125" style="2" customWidth="1"/>
    <col min="11519" max="11519" width="9.109375" style="2"/>
    <col min="11520" max="11522" width="8.6640625" style="2" customWidth="1"/>
    <col min="11523" max="11523" width="34.6640625" style="2" customWidth="1"/>
    <col min="11524" max="11524" width="27" style="2" customWidth="1"/>
    <col min="11525" max="11773" width="9.109375" style="2"/>
    <col min="11774" max="11774" width="82.33203125" style="2" customWidth="1"/>
    <col min="11775" max="11775" width="9.109375" style="2"/>
    <col min="11776" max="11778" width="8.6640625" style="2" customWidth="1"/>
    <col min="11779" max="11779" width="34.6640625" style="2" customWidth="1"/>
    <col min="11780" max="11780" width="27" style="2" customWidth="1"/>
    <col min="11781" max="12029" width="9.109375" style="2"/>
    <col min="12030" max="12030" width="82.33203125" style="2" customWidth="1"/>
    <col min="12031" max="12031" width="9.109375" style="2"/>
    <col min="12032" max="12034" width="8.6640625" style="2" customWidth="1"/>
    <col min="12035" max="12035" width="34.6640625" style="2" customWidth="1"/>
    <col min="12036" max="12036" width="27" style="2" customWidth="1"/>
    <col min="12037" max="12285" width="9.109375" style="2"/>
    <col min="12286" max="12286" width="82.33203125" style="2" customWidth="1"/>
    <col min="12287" max="12287" width="9.109375" style="2"/>
    <col min="12288" max="12290" width="8.6640625" style="2" customWidth="1"/>
    <col min="12291" max="12291" width="34.6640625" style="2" customWidth="1"/>
    <col min="12292" max="12292" width="27" style="2" customWidth="1"/>
    <col min="12293" max="12541" width="9.109375" style="2"/>
    <col min="12542" max="12542" width="82.33203125" style="2" customWidth="1"/>
    <col min="12543" max="12543" width="9.109375" style="2"/>
    <col min="12544" max="12546" width="8.6640625" style="2" customWidth="1"/>
    <col min="12547" max="12547" width="34.6640625" style="2" customWidth="1"/>
    <col min="12548" max="12548" width="27" style="2" customWidth="1"/>
    <col min="12549" max="12797" width="9.109375" style="2"/>
    <col min="12798" max="12798" width="82.33203125" style="2" customWidth="1"/>
    <col min="12799" max="12799" width="9.109375" style="2"/>
    <col min="12800" max="12802" width="8.6640625" style="2" customWidth="1"/>
    <col min="12803" max="12803" width="34.6640625" style="2" customWidth="1"/>
    <col min="12804" max="12804" width="27" style="2" customWidth="1"/>
    <col min="12805" max="13053" width="9.109375" style="2"/>
    <col min="13054" max="13054" width="82.33203125" style="2" customWidth="1"/>
    <col min="13055" max="13055" width="9.109375" style="2"/>
    <col min="13056" max="13058" width="8.6640625" style="2" customWidth="1"/>
    <col min="13059" max="13059" width="34.6640625" style="2" customWidth="1"/>
    <col min="13060" max="13060" width="27" style="2" customWidth="1"/>
    <col min="13061" max="13309" width="9.109375" style="2"/>
    <col min="13310" max="13310" width="82.33203125" style="2" customWidth="1"/>
    <col min="13311" max="13311" width="9.109375" style="2"/>
    <col min="13312" max="13314" width="8.6640625" style="2" customWidth="1"/>
    <col min="13315" max="13315" width="34.6640625" style="2" customWidth="1"/>
    <col min="13316" max="13316" width="27" style="2" customWidth="1"/>
    <col min="13317" max="13565" width="9.109375" style="2"/>
    <col min="13566" max="13566" width="82.33203125" style="2" customWidth="1"/>
    <col min="13567" max="13567" width="9.109375" style="2"/>
    <col min="13568" max="13570" width="8.6640625" style="2" customWidth="1"/>
    <col min="13571" max="13571" width="34.6640625" style="2" customWidth="1"/>
    <col min="13572" max="13572" width="27" style="2" customWidth="1"/>
    <col min="13573" max="13821" width="9.109375" style="2"/>
    <col min="13822" max="13822" width="82.33203125" style="2" customWidth="1"/>
    <col min="13823" max="13823" width="9.109375" style="2"/>
    <col min="13824" max="13826" width="8.6640625" style="2" customWidth="1"/>
    <col min="13827" max="13827" width="34.6640625" style="2" customWidth="1"/>
    <col min="13828" max="13828" width="27" style="2" customWidth="1"/>
    <col min="13829" max="14077" width="9.109375" style="2"/>
    <col min="14078" max="14078" width="82.33203125" style="2" customWidth="1"/>
    <col min="14079" max="14079" width="9.109375" style="2"/>
    <col min="14080" max="14082" width="8.6640625" style="2" customWidth="1"/>
    <col min="14083" max="14083" width="34.6640625" style="2" customWidth="1"/>
    <col min="14084" max="14084" width="27" style="2" customWidth="1"/>
    <col min="14085" max="14333" width="9.109375" style="2"/>
    <col min="14334" max="14334" width="82.33203125" style="2" customWidth="1"/>
    <col min="14335" max="14335" width="9.109375" style="2"/>
    <col min="14336" max="14338" width="8.6640625" style="2" customWidth="1"/>
    <col min="14339" max="14339" width="34.6640625" style="2" customWidth="1"/>
    <col min="14340" max="14340" width="27" style="2" customWidth="1"/>
    <col min="14341" max="14589" width="9.109375" style="2"/>
    <col min="14590" max="14590" width="82.33203125" style="2" customWidth="1"/>
    <col min="14591" max="14591" width="9.109375" style="2"/>
    <col min="14592" max="14594" width="8.6640625" style="2" customWidth="1"/>
    <col min="14595" max="14595" width="34.6640625" style="2" customWidth="1"/>
    <col min="14596" max="14596" width="27" style="2" customWidth="1"/>
    <col min="14597" max="14845" width="9.109375" style="2"/>
    <col min="14846" max="14846" width="82.33203125" style="2" customWidth="1"/>
    <col min="14847" max="14847" width="9.109375" style="2"/>
    <col min="14848" max="14850" width="8.6640625" style="2" customWidth="1"/>
    <col min="14851" max="14851" width="34.6640625" style="2" customWidth="1"/>
    <col min="14852" max="14852" width="27" style="2" customWidth="1"/>
    <col min="14853" max="15101" width="9.109375" style="2"/>
    <col min="15102" max="15102" width="82.33203125" style="2" customWidth="1"/>
    <col min="15103" max="15103" width="9.109375" style="2"/>
    <col min="15104" max="15106" width="8.6640625" style="2" customWidth="1"/>
    <col min="15107" max="15107" width="34.6640625" style="2" customWidth="1"/>
    <col min="15108" max="15108" width="27" style="2" customWidth="1"/>
    <col min="15109" max="15357" width="9.109375" style="2"/>
    <col min="15358" max="15358" width="82.33203125" style="2" customWidth="1"/>
    <col min="15359" max="15359" width="9.109375" style="2"/>
    <col min="15360" max="15362" width="8.6640625" style="2" customWidth="1"/>
    <col min="15363" max="15363" width="34.6640625" style="2" customWidth="1"/>
    <col min="15364" max="15364" width="27" style="2" customWidth="1"/>
    <col min="15365" max="15613" width="9.109375" style="2"/>
    <col min="15614" max="15614" width="82.33203125" style="2" customWidth="1"/>
    <col min="15615" max="15615" width="9.109375" style="2"/>
    <col min="15616" max="15618" width="8.6640625" style="2" customWidth="1"/>
    <col min="15619" max="15619" width="34.6640625" style="2" customWidth="1"/>
    <col min="15620" max="15620" width="27" style="2" customWidth="1"/>
    <col min="15621" max="15869" width="9.109375" style="2"/>
    <col min="15870" max="15870" width="82.33203125" style="2" customWidth="1"/>
    <col min="15871" max="15871" width="9.109375" style="2"/>
    <col min="15872" max="15874" width="8.6640625" style="2" customWidth="1"/>
    <col min="15875" max="15875" width="34.6640625" style="2" customWidth="1"/>
    <col min="15876" max="15876" width="27" style="2" customWidth="1"/>
    <col min="15877" max="16125" width="9.109375" style="2"/>
    <col min="16126" max="16126" width="82.33203125" style="2" customWidth="1"/>
    <col min="16127" max="16127" width="9.109375" style="2"/>
    <col min="16128" max="16130" width="8.6640625" style="2" customWidth="1"/>
    <col min="16131" max="16131" width="34.6640625" style="2" customWidth="1"/>
    <col min="16132" max="16132" width="27" style="2" customWidth="1"/>
    <col min="16133" max="16383" width="9.109375" style="2"/>
    <col min="16384" max="16384" width="9.109375" style="2" customWidth="1"/>
  </cols>
  <sheetData>
    <row r="1" spans="2:7" s="1" customFormat="1" ht="51" customHeight="1" thickBot="1">
      <c r="B1" s="86" t="s">
        <v>62</v>
      </c>
      <c r="C1" s="87"/>
      <c r="D1" s="88"/>
    </row>
    <row r="2" spans="2:7" s="1" customFormat="1" ht="33" customHeight="1">
      <c r="B2" s="89" t="s">
        <v>72</v>
      </c>
      <c r="C2" s="90"/>
      <c r="D2" s="91"/>
    </row>
    <row r="3" spans="2:7" s="1" customFormat="1" ht="33" customHeight="1">
      <c r="B3" s="82" t="s">
        <v>26</v>
      </c>
      <c r="C3" s="83"/>
      <c r="D3" s="20" t="s">
        <v>32</v>
      </c>
    </row>
    <row r="4" spans="2:7" s="1" customFormat="1" ht="33" customHeight="1">
      <c r="B4" s="82" t="s">
        <v>27</v>
      </c>
      <c r="C4" s="83"/>
      <c r="D4" s="38" t="s">
        <v>59</v>
      </c>
    </row>
    <row r="5" spans="2:7" s="1" customFormat="1" ht="33" customHeight="1">
      <c r="B5" s="82" t="s">
        <v>67</v>
      </c>
      <c r="C5" s="83"/>
      <c r="D5" s="21">
        <f>IF(D4="4BHK ROW VILLA",VLOOKUP(D3,'MASTER SHEET'!B3:W7,7,FALSE))</f>
        <v>186.49</v>
      </c>
    </row>
    <row r="6" spans="2:7" s="1" customFormat="1" ht="33" customHeight="1">
      <c r="B6" s="82" t="s">
        <v>68</v>
      </c>
      <c r="C6" s="83"/>
      <c r="D6" s="21">
        <f>IF(D4="4BHK ROW VILLA",VLOOKUP(D3,'MASTER SHEET'!B3:W7,8,FALSE))</f>
        <v>2007.3616536122481</v>
      </c>
    </row>
    <row r="7" spans="2:7" s="1" customFormat="1" ht="33" customHeight="1">
      <c r="B7" s="82" t="s">
        <v>29</v>
      </c>
      <c r="C7" s="83"/>
      <c r="D7" s="21">
        <f>IF(D4="4BHK ROW VILLA",VLOOKUP(D3,'MASTER SHEET'!B3:W7,11,FALSE))</f>
        <v>324.23</v>
      </c>
    </row>
    <row r="8" spans="2:7" s="1" customFormat="1" ht="33" customHeight="1">
      <c r="B8" s="82" t="s">
        <v>8</v>
      </c>
      <c r="C8" s="83"/>
      <c r="D8" s="22">
        <f>IF(D4="4BHK ROW VILLA",VLOOKUP(D3,'MASTER SHEET'!B3:W7,12,FALSE))</f>
        <v>3490</v>
      </c>
      <c r="G8" s="1" t="s">
        <v>69</v>
      </c>
    </row>
    <row r="9" spans="2:7" s="1" customFormat="1" ht="33" customHeight="1">
      <c r="B9" s="82" t="s">
        <v>65</v>
      </c>
      <c r="C9" s="83"/>
      <c r="D9" s="23">
        <f>IF(D4="4BHK ROW VILLA",VLOOKUP(D3,'MASTER SHEET'!B3:W7,13,FALSE))</f>
        <v>232.14</v>
      </c>
    </row>
    <row r="10" spans="2:7" s="1" customFormat="1" ht="33" customHeight="1">
      <c r="B10" s="82" t="s">
        <v>9</v>
      </c>
      <c r="C10" s="83"/>
      <c r="D10" s="24">
        <f>IF(D4="4BHK ROW VILLA",VLOOKUP(D3,'MASTER SHEET'!B3:W7,14,FALSE))</f>
        <v>11300</v>
      </c>
    </row>
    <row r="11" spans="2:7" s="1" customFormat="1" ht="33" customHeight="1">
      <c r="B11" s="82" t="s">
        <v>30</v>
      </c>
      <c r="C11" s="83"/>
      <c r="D11" s="24">
        <f>IF(D4="4BHK ROW VILLA",VLOOKUP(D3,'MASTER SHEET'!B3:W7,15,FALSE))</f>
        <v>1000000</v>
      </c>
    </row>
    <row r="12" spans="2:7" s="1" customFormat="1" ht="33" customHeight="1">
      <c r="B12" s="82" t="s">
        <v>28</v>
      </c>
      <c r="C12" s="83"/>
      <c r="D12" s="24">
        <f>IF(D4="4BHK ROW VILLA",VLOOKUP(D3,'MASTER SHEET'!B3:W7,16,FALSE))</f>
        <v>40437000</v>
      </c>
    </row>
    <row r="13" spans="2:7" s="1" customFormat="1" ht="33" customHeight="1" thickBot="1">
      <c r="B13" s="84" t="s">
        <v>21</v>
      </c>
      <c r="C13" s="85"/>
      <c r="D13" s="32">
        <f>IF(D4="4BHK ROW VILLA",VLOOKUP(D3,'MASTER SHEET'!B3:W7,17,FALSE))</f>
        <v>2021850</v>
      </c>
    </row>
    <row r="14" spans="2:7" s="1" customFormat="1" ht="45" customHeight="1" thickBot="1">
      <c r="B14" s="76" t="s">
        <v>79</v>
      </c>
      <c r="C14" s="77"/>
      <c r="D14" s="33">
        <f>SUM(D12:D13)</f>
        <v>42458850</v>
      </c>
    </row>
    <row r="15" spans="2:7" s="1" customFormat="1" ht="45" customHeight="1">
      <c r="B15" s="92" t="s">
        <v>10</v>
      </c>
      <c r="C15" s="93"/>
      <c r="D15" s="94"/>
    </row>
    <row r="16" spans="2:7" s="1" customFormat="1" ht="33" customHeight="1">
      <c r="B16" s="34" t="s">
        <v>73</v>
      </c>
      <c r="C16" s="98">
        <v>0.1</v>
      </c>
      <c r="D16" s="26">
        <v>1000000</v>
      </c>
    </row>
    <row r="17" spans="2:4" s="1" customFormat="1" ht="48" customHeight="1">
      <c r="B17" s="25" t="s">
        <v>74</v>
      </c>
      <c r="C17" s="99"/>
      <c r="D17" s="26">
        <f>(C16*D14)-D16</f>
        <v>3245885</v>
      </c>
    </row>
    <row r="18" spans="2:4" s="1" customFormat="1" ht="33" customHeight="1">
      <c r="B18" s="25" t="s">
        <v>23</v>
      </c>
      <c r="C18" s="27">
        <v>0.15</v>
      </c>
      <c r="D18" s="26">
        <f>C18*D14</f>
        <v>6368827.5</v>
      </c>
    </row>
    <row r="19" spans="2:4" s="1" customFormat="1" ht="33" customHeight="1">
      <c r="B19" s="25" t="s">
        <v>24</v>
      </c>
      <c r="C19" s="27">
        <v>0.1</v>
      </c>
      <c r="D19" s="26">
        <f>C19*D14</f>
        <v>4245885</v>
      </c>
    </row>
    <row r="20" spans="2:4" s="1" customFormat="1" ht="33" customHeight="1">
      <c r="B20" s="25" t="s">
        <v>42</v>
      </c>
      <c r="C20" s="27">
        <v>0.1</v>
      </c>
      <c r="D20" s="26">
        <f>C20*D14</f>
        <v>4245885</v>
      </c>
    </row>
    <row r="21" spans="2:4" s="1" customFormat="1" ht="33" customHeight="1">
      <c r="B21" s="25" t="s">
        <v>25</v>
      </c>
      <c r="C21" s="27">
        <v>0.1</v>
      </c>
      <c r="D21" s="26">
        <f>C21*D14</f>
        <v>4245885</v>
      </c>
    </row>
    <row r="22" spans="2:4" s="1" customFormat="1" ht="33" customHeight="1">
      <c r="B22" s="25" t="s">
        <v>45</v>
      </c>
      <c r="C22" s="27">
        <v>0.1</v>
      </c>
      <c r="D22" s="26">
        <f>C22*D14</f>
        <v>4245885</v>
      </c>
    </row>
    <row r="23" spans="2:4" s="1" customFormat="1" ht="33" customHeight="1">
      <c r="B23" s="25" t="s">
        <v>43</v>
      </c>
      <c r="C23" s="27">
        <v>0.1</v>
      </c>
      <c r="D23" s="26">
        <f>C23*D14</f>
        <v>4245885</v>
      </c>
    </row>
    <row r="24" spans="2:4" s="1" customFormat="1" ht="33" customHeight="1">
      <c r="B24" s="25" t="s">
        <v>46</v>
      </c>
      <c r="C24" s="27">
        <v>0.1</v>
      </c>
      <c r="D24" s="26">
        <f>C24*D14</f>
        <v>4245885</v>
      </c>
    </row>
    <row r="25" spans="2:4" s="1" customFormat="1" ht="33" customHeight="1">
      <c r="B25" s="25" t="s">
        <v>44</v>
      </c>
      <c r="C25" s="27">
        <v>0.1</v>
      </c>
      <c r="D25" s="26">
        <f>C25*D14</f>
        <v>4245885</v>
      </c>
    </row>
    <row r="26" spans="2:4" s="1" customFormat="1" ht="33" customHeight="1">
      <c r="B26" s="25" t="s">
        <v>11</v>
      </c>
      <c r="C26" s="27">
        <v>0.05</v>
      </c>
      <c r="D26" s="26">
        <f>C26*D14</f>
        <v>2122942.5</v>
      </c>
    </row>
    <row r="27" spans="2:4" s="1" customFormat="1" ht="33" customHeight="1" thickBot="1">
      <c r="B27" s="35" t="s">
        <v>12</v>
      </c>
      <c r="C27" s="36">
        <f>SUM(C16:C26)</f>
        <v>0.99999999999999989</v>
      </c>
      <c r="D27" s="37">
        <f>SUM(D16:D26)</f>
        <v>42458850</v>
      </c>
    </row>
    <row r="28" spans="2:4" s="1" customFormat="1" ht="45" customHeight="1" thickBot="1">
      <c r="B28" s="108" t="s">
        <v>64</v>
      </c>
      <c r="C28" s="109"/>
      <c r="D28" s="110"/>
    </row>
    <row r="29" spans="2:4" s="1" customFormat="1" ht="33" customHeight="1">
      <c r="B29" s="78" t="s">
        <v>56</v>
      </c>
      <c r="C29" s="79"/>
      <c r="D29" s="28">
        <f>IF(D4="4BHK ROW VILLA",VLOOKUP(D3,'MASTER SHEET'!B3:W7,19,FALSE))</f>
        <v>202185</v>
      </c>
    </row>
    <row r="30" spans="2:4" s="1" customFormat="1" ht="33" customHeight="1">
      <c r="B30" s="80" t="s">
        <v>58</v>
      </c>
      <c r="C30" s="81"/>
      <c r="D30" s="29">
        <f>IF(D4="4BHK ROW VILLA",VLOOKUP(D3,'MASTER SHEET'!B3:W7,20,FALSE))</f>
        <v>691857.6</v>
      </c>
    </row>
    <row r="31" spans="2:4" s="1" customFormat="1" ht="33" customHeight="1">
      <c r="B31" s="120" t="s">
        <v>13</v>
      </c>
      <c r="C31" s="121"/>
      <c r="D31" s="29">
        <f>IF(D4="4BHK ROW VILLA",VLOOKUP(D3,'MASTER SHEET'!B3:W7,21,FALSE))</f>
        <v>293160</v>
      </c>
    </row>
    <row r="32" spans="2:4" s="1" customFormat="1" ht="33" customHeight="1" thickBot="1">
      <c r="B32" s="122" t="s">
        <v>80</v>
      </c>
      <c r="C32" s="123"/>
      <c r="D32" s="31">
        <f>SUM(D29:D31)</f>
        <v>1187202.6000000001</v>
      </c>
    </row>
    <row r="33" spans="2:9" s="1" customFormat="1" ht="45" customHeight="1" thickBot="1">
      <c r="B33" s="100" t="s">
        <v>75</v>
      </c>
      <c r="C33" s="101"/>
      <c r="D33" s="30">
        <f>D14+D32</f>
        <v>43646052.600000001</v>
      </c>
      <c r="I33" s="41"/>
    </row>
    <row r="34" spans="2:9" s="1" customFormat="1" ht="33.6" customHeight="1">
      <c r="B34" s="111" t="s">
        <v>14</v>
      </c>
      <c r="C34" s="112"/>
      <c r="D34" s="113"/>
    </row>
    <row r="35" spans="2:9" s="1" customFormat="1" ht="35.4" customHeight="1">
      <c r="B35" s="95" t="s">
        <v>51</v>
      </c>
      <c r="C35" s="96"/>
      <c r="D35" s="97"/>
    </row>
    <row r="36" spans="2:9" s="1" customFormat="1" ht="38.4" customHeight="1">
      <c r="B36" s="95" t="s">
        <v>50</v>
      </c>
      <c r="C36" s="96"/>
      <c r="D36" s="97"/>
    </row>
    <row r="37" spans="2:9" s="1" customFormat="1" ht="42" customHeight="1">
      <c r="B37" s="95" t="s">
        <v>81</v>
      </c>
      <c r="C37" s="96"/>
      <c r="D37" s="97"/>
    </row>
    <row r="38" spans="2:9" s="1" customFormat="1" ht="40.799999999999997" customHeight="1">
      <c r="B38" s="95" t="s">
        <v>57</v>
      </c>
      <c r="C38" s="96"/>
      <c r="D38" s="97"/>
    </row>
    <row r="39" spans="2:9" s="1" customFormat="1" ht="30" customHeight="1">
      <c r="B39" s="105" t="s">
        <v>78</v>
      </c>
      <c r="C39" s="106"/>
      <c r="D39" s="107"/>
    </row>
    <row r="40" spans="2:9" s="1" customFormat="1" ht="37.200000000000003" customHeight="1">
      <c r="B40" s="95" t="s">
        <v>52</v>
      </c>
      <c r="C40" s="96"/>
      <c r="D40" s="97"/>
    </row>
    <row r="41" spans="2:9" s="1" customFormat="1" ht="44.4" customHeight="1">
      <c r="B41" s="95" t="s">
        <v>53</v>
      </c>
      <c r="C41" s="96"/>
      <c r="D41" s="97"/>
    </row>
    <row r="42" spans="2:9" s="1" customFormat="1" ht="63" customHeight="1">
      <c r="B42" s="95" t="s">
        <v>76</v>
      </c>
      <c r="C42" s="96"/>
      <c r="D42" s="97"/>
    </row>
    <row r="43" spans="2:9" s="1" customFormat="1" ht="61.8" customHeight="1">
      <c r="B43" s="95" t="s">
        <v>77</v>
      </c>
      <c r="C43" s="96"/>
      <c r="D43" s="97"/>
    </row>
    <row r="44" spans="2:9" s="1" customFormat="1" ht="33" customHeight="1">
      <c r="B44" s="114" t="s">
        <v>54</v>
      </c>
      <c r="C44" s="115"/>
      <c r="D44" s="116"/>
    </row>
    <row r="45" spans="2:9" s="1" customFormat="1" ht="33" customHeight="1" thickBot="1">
      <c r="B45" s="117" t="s">
        <v>15</v>
      </c>
      <c r="C45" s="118"/>
      <c r="D45" s="119"/>
    </row>
    <row r="46" spans="2:9" s="1" customFormat="1" ht="239.4" customHeight="1" thickBot="1">
      <c r="B46" s="102"/>
      <c r="C46" s="103"/>
      <c r="D46" s="104"/>
    </row>
    <row r="47" spans="2:9" ht="145.19999999999999" customHeight="1"/>
  </sheetData>
  <mergeCells count="35">
    <mergeCell ref="B46:D46"/>
    <mergeCell ref="B39:D39"/>
    <mergeCell ref="B40:D40"/>
    <mergeCell ref="B41:D41"/>
    <mergeCell ref="B28:D28"/>
    <mergeCell ref="B34:D34"/>
    <mergeCell ref="B43:D43"/>
    <mergeCell ref="B44:D44"/>
    <mergeCell ref="B45:D45"/>
    <mergeCell ref="B31:C31"/>
    <mergeCell ref="B32:C32"/>
    <mergeCell ref="B1:D1"/>
    <mergeCell ref="B2:D2"/>
    <mergeCell ref="B15:D15"/>
    <mergeCell ref="B42:D42"/>
    <mergeCell ref="B35:D35"/>
    <mergeCell ref="B36:D36"/>
    <mergeCell ref="B37:D37"/>
    <mergeCell ref="B38:D38"/>
    <mergeCell ref="C16:C17"/>
    <mergeCell ref="B33:C33"/>
    <mergeCell ref="B3:C3"/>
    <mergeCell ref="B4:C4"/>
    <mergeCell ref="B5:C5"/>
    <mergeCell ref="B6:C6"/>
    <mergeCell ref="B7:C7"/>
    <mergeCell ref="B8:C8"/>
    <mergeCell ref="B14:C14"/>
    <mergeCell ref="B29:C29"/>
    <mergeCell ref="B30:C30"/>
    <mergeCell ref="B9:C9"/>
    <mergeCell ref="B10:C10"/>
    <mergeCell ref="B11:C11"/>
    <mergeCell ref="B12:C12"/>
    <mergeCell ref="B13:C13"/>
  </mergeCells>
  <pageMargins left="0.7" right="0.7" top="0.75" bottom="0.75" header="0.3" footer="0.3"/>
  <pageSetup paperSize="9" scale="35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'MASTER SHEET'!$B$3:$B$7</xm:f>
          </x14:formula1>
          <xm:sqref>D3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MASTER SHEET</vt:lpstr>
      <vt:lpstr>PRICE SHEET</vt:lpstr>
      <vt:lpstr>'PRICE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Suvojit</dc:creator>
  <cp:lastModifiedBy>User</cp:lastModifiedBy>
  <cp:lastPrinted>2026-08-01T10:59:27Z</cp:lastPrinted>
  <dcterms:created xsi:type="dcterms:W3CDTF">2018-07-31T15:47:00Z</dcterms:created>
  <dcterms:modified xsi:type="dcterms:W3CDTF">2026-08-03T12:37:41Z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07F25C6D81B64DB788372CE74552BE12</vt:lpwstr>
  </property>
  <property fmtid="{D5CDD505-2E9C-101B-9397-08002B2CF9AE}" pid="3" name="KSOProductBuildVer">
    <vt:lpwstr>1033-11.2.0.11440</vt:lpwstr>
  </property>
</Properties>
</file>